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_local/phosphorylation_publ/section11_dft/"/>
    </mc:Choice>
  </mc:AlternateContent>
  <xr:revisionPtr revIDLastSave="0" documentId="13_ncr:1_{FC2C4FB6-9CF0-D74F-B5C4-3CD6A714974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1" l="1"/>
  <c r="G69" i="1" s="1"/>
  <c r="F68" i="1"/>
  <c r="G68" i="1" s="1"/>
  <c r="F65" i="1"/>
  <c r="G65" i="1" s="1"/>
  <c r="F64" i="1"/>
  <c r="G64" i="1" s="1"/>
  <c r="F61" i="1"/>
  <c r="G61" i="1" s="1"/>
  <c r="F60" i="1"/>
  <c r="G60" i="1" s="1"/>
  <c r="F59" i="1"/>
  <c r="G59" i="1" s="1"/>
  <c r="F58" i="1"/>
  <c r="G58" i="1" s="1"/>
  <c r="F57" i="1"/>
  <c r="G57" i="1" s="1"/>
  <c r="F54" i="1"/>
  <c r="G54" i="1" s="1"/>
  <c r="F53" i="1"/>
  <c r="G53" i="1" s="1"/>
  <c r="F50" i="1"/>
  <c r="G50" i="1" s="1"/>
  <c r="E50" i="1" s="1"/>
  <c r="F47" i="1"/>
  <c r="G47" i="1" s="1"/>
  <c r="E47" i="1" s="1"/>
  <c r="F44" i="1"/>
  <c r="G44" i="1" s="1"/>
  <c r="E44" i="1" s="1"/>
  <c r="F41" i="1"/>
  <c r="G41" i="1" s="1"/>
  <c r="E41" i="1" s="1"/>
  <c r="F38" i="1"/>
  <c r="G38" i="1" s="1"/>
  <c r="F37" i="1"/>
  <c r="G37" i="1" s="1"/>
  <c r="F34" i="1"/>
  <c r="G34" i="1" s="1"/>
  <c r="F33" i="1"/>
  <c r="G33" i="1" s="1"/>
  <c r="F279" i="1"/>
  <c r="G279" i="1" s="1"/>
  <c r="E279" i="1" s="1"/>
  <c r="F276" i="1"/>
  <c r="G276" i="1" s="1"/>
  <c r="E276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59" i="1"/>
  <c r="G259" i="1" s="1"/>
  <c r="F258" i="1"/>
  <c r="G258" i="1" s="1"/>
  <c r="F255" i="1"/>
  <c r="G255" i="1" s="1"/>
  <c r="F254" i="1"/>
  <c r="G254" i="1" s="1"/>
  <c r="F253" i="1"/>
  <c r="G253" i="1" s="1"/>
  <c r="F250" i="1"/>
  <c r="G250" i="1" s="1"/>
  <c r="E250" i="1" s="1"/>
  <c r="F247" i="1"/>
  <c r="G247" i="1" s="1"/>
  <c r="E247" i="1" s="1"/>
  <c r="F244" i="1"/>
  <c r="G244" i="1" s="1"/>
  <c r="E244" i="1" s="1"/>
  <c r="F241" i="1"/>
  <c r="G241" i="1" s="1"/>
  <c r="F240" i="1"/>
  <c r="G240" i="1" s="1"/>
  <c r="F239" i="1"/>
  <c r="G239" i="1" s="1"/>
  <c r="F236" i="1"/>
  <c r="G236" i="1" s="1"/>
  <c r="F235" i="1"/>
  <c r="G235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2" i="1"/>
  <c r="G22" i="1" s="1"/>
  <c r="E22" i="1" s="1"/>
  <c r="F232" i="1"/>
  <c r="G232" i="1" s="1"/>
  <c r="E232" i="1" s="1"/>
  <c r="F229" i="1"/>
  <c r="G229" i="1" s="1"/>
  <c r="E229" i="1" s="1"/>
  <c r="F226" i="1"/>
  <c r="G226" i="1" s="1"/>
  <c r="F225" i="1"/>
  <c r="G225" i="1" s="1"/>
  <c r="F224" i="1"/>
  <c r="G224" i="1" s="1"/>
  <c r="F221" i="1"/>
  <c r="G221" i="1" s="1"/>
  <c r="E221" i="1" s="1"/>
  <c r="F218" i="1"/>
  <c r="G218" i="1" s="1"/>
  <c r="F217" i="1"/>
  <c r="G217" i="1" s="1"/>
  <c r="F216" i="1"/>
  <c r="G216" i="1" s="1"/>
  <c r="E216" i="1" s="1"/>
  <c r="F213" i="1"/>
  <c r="G213" i="1" s="1"/>
  <c r="E213" i="1" s="1"/>
  <c r="F210" i="1"/>
  <c r="G210" i="1" s="1"/>
  <c r="F209" i="1"/>
  <c r="G209" i="1" s="1"/>
  <c r="F208" i="1"/>
  <c r="G208" i="1" s="1"/>
  <c r="F207" i="1"/>
  <c r="G207" i="1" s="1"/>
  <c r="F206" i="1"/>
  <c r="G206" i="1" s="1"/>
  <c r="F203" i="1"/>
  <c r="G203" i="1" s="1"/>
  <c r="E203" i="1" s="1"/>
  <c r="F200" i="1"/>
  <c r="G200" i="1" s="1"/>
  <c r="E200" i="1" s="1"/>
  <c r="F197" i="1"/>
  <c r="G197" i="1" s="1"/>
  <c r="E197" i="1" s="1"/>
  <c r="F194" i="1"/>
  <c r="G194" i="1" s="1"/>
  <c r="F193" i="1"/>
  <c r="G193" i="1" s="1"/>
  <c r="F190" i="1"/>
  <c r="G190" i="1" s="1"/>
  <c r="E190" i="1" s="1"/>
  <c r="F187" i="1"/>
  <c r="G187" i="1" s="1"/>
  <c r="E187" i="1" s="1"/>
  <c r="F184" i="1"/>
  <c r="G184" i="1" s="1"/>
  <c r="E184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3" i="1"/>
  <c r="G173" i="1" s="1"/>
  <c r="F172" i="1"/>
  <c r="G172" i="1" s="1"/>
  <c r="F169" i="1"/>
  <c r="G169" i="1" s="1"/>
  <c r="F168" i="1"/>
  <c r="G168" i="1" s="1"/>
  <c r="F165" i="1"/>
  <c r="G165" i="1" s="1"/>
  <c r="E165" i="1" s="1"/>
  <c r="F162" i="1"/>
  <c r="G162" i="1" s="1"/>
  <c r="F161" i="1"/>
  <c r="G161" i="1" s="1"/>
  <c r="F160" i="1"/>
  <c r="G160" i="1" s="1"/>
  <c r="F157" i="1"/>
  <c r="G157" i="1" s="1"/>
  <c r="E157" i="1" s="1"/>
  <c r="F19" i="1"/>
  <c r="G19" i="1" s="1"/>
  <c r="E19" i="1" s="1"/>
  <c r="F16" i="1"/>
  <c r="G16" i="1" s="1"/>
  <c r="E16" i="1" s="1"/>
  <c r="F154" i="1"/>
  <c r="G154" i="1" s="1"/>
  <c r="F153" i="1"/>
  <c r="G153" i="1" s="1"/>
  <c r="F152" i="1"/>
  <c r="G152" i="1" s="1"/>
  <c r="F151" i="1"/>
  <c r="G151" i="1" s="1"/>
  <c r="F150" i="1"/>
  <c r="G150" i="1" s="1"/>
  <c r="F147" i="1"/>
  <c r="G147" i="1" s="1"/>
  <c r="E147" i="1" s="1"/>
  <c r="F144" i="1"/>
  <c r="G144" i="1" s="1"/>
  <c r="F143" i="1"/>
  <c r="G143" i="1" s="1"/>
  <c r="F142" i="1"/>
  <c r="G142" i="1" s="1"/>
  <c r="F139" i="1"/>
  <c r="G139" i="1" s="1"/>
  <c r="E139" i="1" s="1"/>
  <c r="F136" i="1"/>
  <c r="G136" i="1" s="1"/>
  <c r="F135" i="1"/>
  <c r="G135" i="1" s="1"/>
  <c r="F134" i="1"/>
  <c r="G134" i="1" s="1"/>
  <c r="F133" i="1"/>
  <c r="G133" i="1" s="1"/>
  <c r="F132" i="1"/>
  <c r="G132" i="1" s="1"/>
  <c r="F129" i="1"/>
  <c r="G129" i="1" s="1"/>
  <c r="F128" i="1"/>
  <c r="G128" i="1" s="1"/>
  <c r="F125" i="1"/>
  <c r="G125" i="1" s="1"/>
  <c r="F124" i="1"/>
  <c r="G124" i="1" s="1"/>
  <c r="F123" i="1"/>
  <c r="G123" i="1" s="1"/>
  <c r="F122" i="1"/>
  <c r="G122" i="1" s="1"/>
  <c r="F119" i="1"/>
  <c r="G119" i="1" s="1"/>
  <c r="F118" i="1"/>
  <c r="G118" i="1" s="1"/>
  <c r="F115" i="1"/>
  <c r="G115" i="1" s="1"/>
  <c r="F114" i="1"/>
  <c r="G114" i="1" s="1"/>
  <c r="F113" i="1"/>
  <c r="G113" i="1" s="1"/>
  <c r="F110" i="1"/>
  <c r="G110" i="1" s="1"/>
  <c r="E110" i="1" s="1"/>
  <c r="F107" i="1"/>
  <c r="G107" i="1" s="1"/>
  <c r="E107" i="1" s="1"/>
  <c r="F104" i="1"/>
  <c r="G104" i="1" s="1"/>
  <c r="F103" i="1"/>
  <c r="G103" i="1" s="1"/>
  <c r="F100" i="1"/>
  <c r="G100" i="1" s="1"/>
  <c r="E100" i="1" s="1"/>
  <c r="F97" i="1"/>
  <c r="G97" i="1" s="1"/>
  <c r="E97" i="1" s="1"/>
  <c r="F94" i="1"/>
  <c r="G94" i="1" s="1"/>
  <c r="F93" i="1"/>
  <c r="G93" i="1" s="1"/>
  <c r="F90" i="1"/>
  <c r="G90" i="1" s="1"/>
  <c r="E90" i="1" s="1"/>
  <c r="F87" i="1"/>
  <c r="G87" i="1" s="1"/>
  <c r="F86" i="1"/>
  <c r="G86" i="1" s="1"/>
  <c r="F85" i="1"/>
  <c r="G85" i="1" s="1"/>
  <c r="F84" i="1"/>
  <c r="G84" i="1" s="1"/>
  <c r="F83" i="1"/>
  <c r="G83" i="1" s="1"/>
  <c r="F80" i="1"/>
  <c r="G80" i="1" s="1"/>
  <c r="F79" i="1"/>
  <c r="G79" i="1" s="1"/>
  <c r="F76" i="1"/>
  <c r="G76" i="1" s="1"/>
  <c r="F75" i="1"/>
  <c r="G75" i="1" s="1"/>
  <c r="F72" i="1"/>
  <c r="G72" i="1" s="1"/>
  <c r="E72" i="1" s="1"/>
  <c r="F13" i="1"/>
  <c r="G13" i="1" s="1"/>
  <c r="E13" i="1" s="1"/>
  <c r="F10" i="1"/>
  <c r="G10" i="1" s="1"/>
  <c r="F9" i="1"/>
  <c r="G9" i="1" s="1"/>
  <c r="F5" i="1"/>
  <c r="G5" i="1" s="1"/>
  <c r="E5" i="1" s="1"/>
  <c r="E6" i="1" s="1"/>
  <c r="F2" i="1"/>
  <c r="G2" i="1" s="1"/>
  <c r="E2" i="1" s="1"/>
  <c r="E235" i="1" l="1"/>
  <c r="E239" i="1"/>
  <c r="E9" i="1"/>
  <c r="E93" i="1"/>
  <c r="E33" i="1"/>
  <c r="H33" i="1" s="1"/>
  <c r="E180" i="1"/>
  <c r="H180" i="1" s="1"/>
  <c r="E206" i="1"/>
  <c r="H206" i="1" s="1"/>
  <c r="E224" i="1"/>
  <c r="H224" i="1" s="1"/>
  <c r="E259" i="1"/>
  <c r="H259" i="1" s="1"/>
  <c r="E168" i="1"/>
  <c r="H168" i="1" s="1"/>
  <c r="E253" i="1"/>
  <c r="H253" i="1" s="1"/>
  <c r="E75" i="1"/>
  <c r="H75" i="1" s="1"/>
  <c r="E103" i="1"/>
  <c r="H103" i="1" s="1"/>
  <c r="E152" i="1"/>
  <c r="H152" i="1" s="1"/>
  <c r="E64" i="1"/>
  <c r="E160" i="1"/>
  <c r="H160" i="1" s="1"/>
  <c r="E142" i="1"/>
  <c r="H142" i="1" s="1"/>
  <c r="E38" i="1"/>
  <c r="H38" i="1" s="1"/>
  <c r="E153" i="1"/>
  <c r="H153" i="1" s="1"/>
  <c r="E134" i="1"/>
  <c r="H134" i="1" s="1"/>
  <c r="E181" i="1"/>
  <c r="H181" i="1" s="1"/>
  <c r="E65" i="1"/>
  <c r="H65" i="1" s="1"/>
  <c r="H13" i="1"/>
  <c r="E14" i="1"/>
  <c r="D14" i="1"/>
  <c r="E266" i="1"/>
  <c r="H266" i="1" s="1"/>
  <c r="E118" i="1"/>
  <c r="H118" i="1" s="1"/>
  <c r="E267" i="1"/>
  <c r="H267" i="1" s="1"/>
  <c r="E172" i="1"/>
  <c r="E162" i="1"/>
  <c r="H162" i="1" s="1"/>
  <c r="E54" i="1"/>
  <c r="H54" i="1" s="1"/>
  <c r="E135" i="1"/>
  <c r="H135" i="1" s="1"/>
  <c r="E225" i="1"/>
  <c r="H225" i="1" s="1"/>
  <c r="E258" i="1"/>
  <c r="E68" i="1"/>
  <c r="H68" i="1" s="1"/>
  <c r="E27" i="1"/>
  <c r="H27" i="1" s="1"/>
  <c r="E28" i="1"/>
  <c r="H28" i="1" s="1"/>
  <c r="E207" i="1"/>
  <c r="H207" i="1" s="1"/>
  <c r="E193" i="1"/>
  <c r="H193" i="1" s="1"/>
  <c r="E154" i="1"/>
  <c r="H154" i="1" s="1"/>
  <c r="E161" i="1"/>
  <c r="H161" i="1" s="1"/>
  <c r="E57" i="1"/>
  <c r="H57" i="1" s="1"/>
  <c r="E122" i="1"/>
  <c r="E34" i="1"/>
  <c r="H34" i="1" s="1"/>
  <c r="E37" i="1"/>
  <c r="E128" i="1"/>
  <c r="E177" i="1"/>
  <c r="H177" i="1" s="1"/>
  <c r="E151" i="1"/>
  <c r="H151" i="1" s="1"/>
  <c r="E73" i="1"/>
  <c r="D73" i="1"/>
  <c r="H72" i="1"/>
  <c r="D204" i="1"/>
  <c r="H203" i="1"/>
  <c r="E204" i="1"/>
  <c r="E280" i="1"/>
  <c r="D280" i="1"/>
  <c r="H279" i="1"/>
  <c r="E61" i="1"/>
  <c r="H61" i="1" s="1"/>
  <c r="E271" i="1"/>
  <c r="H271" i="1" s="1"/>
  <c r="E263" i="1"/>
  <c r="H263" i="1" s="1"/>
  <c r="E222" i="1"/>
  <c r="D222" i="1"/>
  <c r="H221" i="1"/>
  <c r="E76" i="1"/>
  <c r="H76" i="1" s="1"/>
  <c r="E58" i="1"/>
  <c r="H58" i="1" s="1"/>
  <c r="E80" i="1"/>
  <c r="H80" i="1" s="1"/>
  <c r="E79" i="1"/>
  <c r="E136" i="1"/>
  <c r="H136" i="1" s="1"/>
  <c r="E185" i="1"/>
  <c r="D185" i="1"/>
  <c r="H184" i="1"/>
  <c r="H139" i="1"/>
  <c r="E140" i="1"/>
  <c r="D140" i="1"/>
  <c r="E208" i="1"/>
  <c r="H208" i="1" s="1"/>
  <c r="E30" i="1"/>
  <c r="H30" i="1" s="1"/>
  <c r="E209" i="1"/>
  <c r="H209" i="1" s="1"/>
  <c r="E10" i="1"/>
  <c r="H10" i="1" s="1"/>
  <c r="E125" i="1"/>
  <c r="H125" i="1" s="1"/>
  <c r="E236" i="1"/>
  <c r="H236" i="1" s="1"/>
  <c r="E108" i="1"/>
  <c r="H107" i="1"/>
  <c r="D108" i="1"/>
  <c r="E42" i="1"/>
  <c r="D42" i="1"/>
  <c r="H41" i="1"/>
  <c r="E111" i="1"/>
  <c r="D111" i="1"/>
  <c r="H110" i="1"/>
  <c r="H213" i="1"/>
  <c r="E214" i="1"/>
  <c r="D214" i="1"/>
  <c r="E45" i="1"/>
  <c r="D45" i="1"/>
  <c r="H44" i="1"/>
  <c r="E194" i="1"/>
  <c r="H194" i="1" s="1"/>
  <c r="H197" i="1"/>
  <c r="E198" i="1"/>
  <c r="D198" i="1"/>
  <c r="H165" i="1"/>
  <c r="E166" i="1"/>
  <c r="D166" i="1"/>
  <c r="E119" i="1"/>
  <c r="H119" i="1" s="1"/>
  <c r="H2" i="1"/>
  <c r="E3" i="1"/>
  <c r="D3" i="1"/>
  <c r="E29" i="1"/>
  <c r="H29" i="1" s="1"/>
  <c r="E255" i="1"/>
  <c r="H255" i="1" s="1"/>
  <c r="D6" i="1"/>
  <c r="H5" i="1"/>
  <c r="E123" i="1"/>
  <c r="H123" i="1" s="1"/>
  <c r="E59" i="1"/>
  <c r="H59" i="1" s="1"/>
  <c r="H100" i="1"/>
  <c r="E101" i="1"/>
  <c r="D101" i="1"/>
  <c r="E188" i="1"/>
  <c r="D188" i="1"/>
  <c r="H187" i="1"/>
  <c r="E226" i="1"/>
  <c r="H226" i="1" s="1"/>
  <c r="E269" i="1"/>
  <c r="H269" i="1" s="1"/>
  <c r="E173" i="1"/>
  <c r="H173" i="1" s="1"/>
  <c r="H235" i="1"/>
  <c r="E143" i="1"/>
  <c r="H143" i="1" s="1"/>
  <c r="E191" i="1"/>
  <c r="D191" i="1"/>
  <c r="H190" i="1"/>
  <c r="E270" i="1"/>
  <c r="H270" i="1" s="1"/>
  <c r="H239" i="1"/>
  <c r="E84" i="1"/>
  <c r="H84" i="1" s="1"/>
  <c r="E158" i="1"/>
  <c r="D158" i="1"/>
  <c r="H157" i="1"/>
  <c r="D23" i="1"/>
  <c r="H22" i="1"/>
  <c r="E23" i="1"/>
  <c r="E115" i="1"/>
  <c r="H115" i="1" s="1"/>
  <c r="E113" i="1"/>
  <c r="E148" i="1"/>
  <c r="D148" i="1"/>
  <c r="H147" i="1"/>
  <c r="E241" i="1"/>
  <c r="H241" i="1" s="1"/>
  <c r="E48" i="1"/>
  <c r="D48" i="1"/>
  <c r="H47" i="1"/>
  <c r="E114" i="1"/>
  <c r="H114" i="1" s="1"/>
  <c r="E178" i="1"/>
  <c r="H178" i="1" s="1"/>
  <c r="E25" i="1"/>
  <c r="E132" i="1"/>
  <c r="E201" i="1"/>
  <c r="D201" i="1"/>
  <c r="H200" i="1"/>
  <c r="E218" i="1"/>
  <c r="H218" i="1" s="1"/>
  <c r="E26" i="1"/>
  <c r="H26" i="1" s="1"/>
  <c r="E264" i="1"/>
  <c r="H264" i="1" s="1"/>
  <c r="E273" i="1"/>
  <c r="H273" i="1" s="1"/>
  <c r="H250" i="1"/>
  <c r="E251" i="1"/>
  <c r="D251" i="1"/>
  <c r="E91" i="1"/>
  <c r="D91" i="1"/>
  <c r="H90" i="1"/>
  <c r="H93" i="1"/>
  <c r="E254" i="1"/>
  <c r="H254" i="1" s="1"/>
  <c r="E94" i="1"/>
  <c r="H94" i="1" s="1"/>
  <c r="E169" i="1"/>
  <c r="H169" i="1" s="1"/>
  <c r="D98" i="1"/>
  <c r="H97" i="1"/>
  <c r="E98" i="1"/>
  <c r="E268" i="1"/>
  <c r="H268" i="1" s="1"/>
  <c r="E60" i="1"/>
  <c r="H60" i="1" s="1"/>
  <c r="H9" i="1"/>
  <c r="E124" i="1"/>
  <c r="H124" i="1" s="1"/>
  <c r="E17" i="1"/>
  <c r="D17" i="1"/>
  <c r="H16" i="1"/>
  <c r="D230" i="1"/>
  <c r="H229" i="1"/>
  <c r="E230" i="1"/>
  <c r="E104" i="1"/>
  <c r="H104" i="1" s="1"/>
  <c r="H19" i="1"/>
  <c r="E20" i="1"/>
  <c r="D20" i="1"/>
  <c r="E233" i="1"/>
  <c r="D233" i="1"/>
  <c r="H232" i="1"/>
  <c r="E83" i="1"/>
  <c r="E85" i="1"/>
  <c r="H85" i="1" s="1"/>
  <c r="E144" i="1"/>
  <c r="H144" i="1" s="1"/>
  <c r="E210" i="1"/>
  <c r="H210" i="1" s="1"/>
  <c r="E262" i="1"/>
  <c r="E240" i="1"/>
  <c r="H240" i="1" s="1"/>
  <c r="E129" i="1"/>
  <c r="H129" i="1" s="1"/>
  <c r="H216" i="1"/>
  <c r="E272" i="1"/>
  <c r="H272" i="1" s="1"/>
  <c r="E217" i="1"/>
  <c r="H217" i="1" s="1"/>
  <c r="E245" i="1"/>
  <c r="D245" i="1"/>
  <c r="H244" i="1"/>
  <c r="E51" i="1"/>
  <c r="D51" i="1"/>
  <c r="H50" i="1"/>
  <c r="E86" i="1"/>
  <c r="H86" i="1" s="1"/>
  <c r="E87" i="1"/>
  <c r="H87" i="1" s="1"/>
  <c r="E133" i="1"/>
  <c r="H133" i="1" s="1"/>
  <c r="E179" i="1"/>
  <c r="H179" i="1" s="1"/>
  <c r="E248" i="1"/>
  <c r="D248" i="1"/>
  <c r="H247" i="1"/>
  <c r="E265" i="1"/>
  <c r="H265" i="1" s="1"/>
  <c r="E277" i="1"/>
  <c r="D277" i="1"/>
  <c r="H276" i="1"/>
  <c r="E53" i="1"/>
  <c r="E69" i="1"/>
  <c r="H69" i="1" s="1"/>
  <c r="E150" i="1"/>
  <c r="E176" i="1"/>
  <c r="E66" i="1" l="1"/>
  <c r="D35" i="1"/>
  <c r="E130" i="1"/>
  <c r="E35" i="1"/>
  <c r="E174" i="1"/>
  <c r="E260" i="1"/>
  <c r="E256" i="1"/>
  <c r="H258" i="1"/>
  <c r="E126" i="1"/>
  <c r="D260" i="1"/>
  <c r="H64" i="1"/>
  <c r="D66" i="1"/>
  <c r="E39" i="1"/>
  <c r="D39" i="1"/>
  <c r="I39" i="1" s="1"/>
  <c r="H37" i="1"/>
  <c r="E170" i="1"/>
  <c r="H128" i="1"/>
  <c r="D170" i="1"/>
  <c r="I170" i="1" s="1"/>
  <c r="D70" i="1"/>
  <c r="H172" i="1"/>
  <c r="E70" i="1"/>
  <c r="H122" i="1"/>
  <c r="D163" i="1"/>
  <c r="I163" i="1" s="1"/>
  <c r="E163" i="1"/>
  <c r="D174" i="1"/>
  <c r="H150" i="1"/>
  <c r="E155" i="1"/>
  <c r="D155" i="1"/>
  <c r="I155" i="1" s="1"/>
  <c r="D130" i="1"/>
  <c r="H176" i="1"/>
  <c r="E182" i="1"/>
  <c r="D182" i="1"/>
  <c r="E211" i="1"/>
  <c r="H83" i="1"/>
  <c r="E88" i="1"/>
  <c r="D88" i="1"/>
  <c r="I51" i="1"/>
  <c r="I280" i="1"/>
  <c r="D62" i="1"/>
  <c r="E274" i="1"/>
  <c r="D274" i="1"/>
  <c r="H262" i="1"/>
  <c r="I45" i="1"/>
  <c r="D211" i="1"/>
  <c r="I211" i="1" s="1"/>
  <c r="D242" i="1"/>
  <c r="E62" i="1"/>
  <c r="D237" i="1"/>
  <c r="E120" i="1"/>
  <c r="E31" i="1"/>
  <c r="D31" i="1"/>
  <c r="I31" i="1" s="1"/>
  <c r="H25" i="1"/>
  <c r="E81" i="1"/>
  <c r="H79" i="1"/>
  <c r="D81" i="1"/>
  <c r="I201" i="1"/>
  <c r="D77" i="1"/>
  <c r="I77" i="1" s="1"/>
  <c r="I248" i="1"/>
  <c r="E242" i="1"/>
  <c r="E237" i="1"/>
  <c r="D120" i="1"/>
  <c r="D11" i="1"/>
  <c r="I14" i="1" s="1"/>
  <c r="D195" i="1"/>
  <c r="I195" i="1" s="1"/>
  <c r="D126" i="1"/>
  <c r="D145" i="1"/>
  <c r="I145" i="1" s="1"/>
  <c r="D227" i="1"/>
  <c r="I227" i="1" s="1"/>
  <c r="I233" i="1"/>
  <c r="I20" i="1"/>
  <c r="E55" i="1"/>
  <c r="D55" i="1"/>
  <c r="H53" i="1"/>
  <c r="I101" i="1"/>
  <c r="E77" i="1"/>
  <c r="D105" i="1"/>
  <c r="I108" i="1" s="1"/>
  <c r="E105" i="1"/>
  <c r="D219" i="1"/>
  <c r="I219" i="1" s="1"/>
  <c r="D95" i="1"/>
  <c r="I95" i="1" s="1"/>
  <c r="E219" i="1"/>
  <c r="E11" i="1"/>
  <c r="E95" i="1"/>
  <c r="E137" i="1"/>
  <c r="D137" i="1"/>
  <c r="H132" i="1"/>
  <c r="H113" i="1"/>
  <c r="E116" i="1"/>
  <c r="D116" i="1"/>
  <c r="I116" i="1" s="1"/>
  <c r="E195" i="1"/>
  <c r="E145" i="1"/>
  <c r="I188" i="1"/>
  <c r="D256" i="1"/>
  <c r="I256" i="1" s="1"/>
  <c r="E227" i="1"/>
  <c r="I274" i="1" l="1"/>
  <c r="I70" i="1"/>
  <c r="I182" i="1"/>
  <c r="I137" i="1"/>
  <c r="I62" i="1"/>
  <c r="I126" i="1"/>
  <c r="I88" i="1"/>
  <c r="I242" i="1"/>
</calcChain>
</file>

<file path=xl/sharedStrings.xml><?xml version="1.0" encoding="utf-8"?>
<sst xmlns="http://schemas.openxmlformats.org/spreadsheetml/2006/main" count="288" uniqueCount="220">
  <si>
    <t>Species</t>
  </si>
  <si>
    <t>E</t>
  </si>
  <si>
    <t>qh-G(T)</t>
  </si>
  <si>
    <t>weighting</t>
  </si>
  <si>
    <t>deltaG_kJ_mol</t>
  </si>
  <si>
    <t>boltz_factor</t>
  </si>
  <si>
    <t>weighted_qh_G</t>
  </si>
  <si>
    <t>DeltaG_hydrolysis</t>
  </si>
  <si>
    <t>water_1</t>
  </si>
  <si>
    <t>water</t>
  </si>
  <si>
    <t>Hydrogenphosphate_1</t>
  </si>
  <si>
    <t>Hydrogenphosphate</t>
  </si>
  <si>
    <t>P1_dephosph_1</t>
  </si>
  <si>
    <t>P1_dephosph_2</t>
  </si>
  <si>
    <t>P1_dephosph</t>
  </si>
  <si>
    <t>P1_phosph_7</t>
  </si>
  <si>
    <t>P1_phosph</t>
  </si>
  <si>
    <t>P10_dephosph_1</t>
  </si>
  <si>
    <t>P10_dephosph</t>
  </si>
  <si>
    <t>P10_phosph_1</t>
  </si>
  <si>
    <t>P10_phosph_3</t>
  </si>
  <si>
    <t>P10_phosph</t>
  </si>
  <si>
    <t>P11_dephosph_1</t>
  </si>
  <si>
    <t>P11_dephosph_2</t>
  </si>
  <si>
    <t>P11_dephosph</t>
  </si>
  <si>
    <t>P11_phosph_2</t>
  </si>
  <si>
    <t>P11_phosph_1</t>
  </si>
  <si>
    <t>P11_phosph_3</t>
  </si>
  <si>
    <t>P11_phosph_6</t>
  </si>
  <si>
    <t>P11_phosph_5</t>
  </si>
  <si>
    <t>P11_phosph</t>
  </si>
  <si>
    <t>P12_dephosph_1</t>
  </si>
  <si>
    <t>P12_dephosph</t>
  </si>
  <si>
    <t>P12_phosph_2</t>
  </si>
  <si>
    <t>P12_phosph_1</t>
  </si>
  <si>
    <t>P12_phosph</t>
  </si>
  <si>
    <t>P13_dephosph_1</t>
  </si>
  <si>
    <t>P13_dephosph</t>
  </si>
  <si>
    <t>P13_phosph_1</t>
  </si>
  <si>
    <t>P13_phosph</t>
  </si>
  <si>
    <t>P14_dephosph_2</t>
  </si>
  <si>
    <t>P14_dephosph_1</t>
  </si>
  <si>
    <t>P14_dephosph</t>
  </si>
  <si>
    <t>P14_phosph_1</t>
  </si>
  <si>
    <t>P14_phosph</t>
  </si>
  <si>
    <t>P15_dephosph_1</t>
  </si>
  <si>
    <t>P15_dephosph</t>
  </si>
  <si>
    <t>P15_phosph_5</t>
  </si>
  <si>
    <t>P15_phosph_4</t>
  </si>
  <si>
    <t>P15_phosph_2</t>
  </si>
  <si>
    <t>P15_phosph</t>
  </si>
  <si>
    <t>P16_dephosph_2</t>
  </si>
  <si>
    <t>P16_dephosph_3</t>
  </si>
  <si>
    <t>P16_dephosph</t>
  </si>
  <si>
    <t>P16_phosph_1</t>
  </si>
  <si>
    <t>P16_phosph_4</t>
  </si>
  <si>
    <t>P16_phosph_6</t>
  </si>
  <si>
    <t>P16_phosph_5</t>
  </si>
  <si>
    <t>P16_phosph</t>
  </si>
  <si>
    <t>P17_dephosph_2</t>
  </si>
  <si>
    <t>P17_dephosph_1</t>
  </si>
  <si>
    <t>P17_dephosph</t>
  </si>
  <si>
    <t>P17_phosph_14</t>
  </si>
  <si>
    <t>P17_phosph_16</t>
  </si>
  <si>
    <t>P17_phosph_4</t>
  </si>
  <si>
    <t>P17_phosph_12</t>
  </si>
  <si>
    <t>P17_phosph_2</t>
  </si>
  <si>
    <t>P17_phosph</t>
  </si>
  <si>
    <t>P18_dephosph_1</t>
  </si>
  <si>
    <t>P18_dephosph</t>
  </si>
  <si>
    <t>P18_phosph_7</t>
  </si>
  <si>
    <t>P18_phosph_9</t>
  </si>
  <si>
    <t>P18_phosph_8</t>
  </si>
  <si>
    <t>P18_phosph</t>
  </si>
  <si>
    <t>P19_dephosph_1</t>
  </si>
  <si>
    <t>P19_dephosph</t>
  </si>
  <si>
    <t>P19_phosph_7</t>
  </si>
  <si>
    <t>P19_phosph_5</t>
  </si>
  <si>
    <t>P19_phosph_1</t>
  </si>
  <si>
    <t>P19_phosph_2</t>
  </si>
  <si>
    <t>P19_phosph_3</t>
  </si>
  <si>
    <t>P19_phosph</t>
  </si>
  <si>
    <t>P2_dephosph_1</t>
  </si>
  <si>
    <t>P2_dephosph</t>
  </si>
  <si>
    <t>P2_phosph_1</t>
  </si>
  <si>
    <t>P2_phosph</t>
  </si>
  <si>
    <t>P20_dephosph_1</t>
  </si>
  <si>
    <t>P20_dephosph</t>
  </si>
  <si>
    <t>P20_phosph_4</t>
  </si>
  <si>
    <t>P20_phosph_10</t>
  </si>
  <si>
    <t>P20_phosph_3</t>
  </si>
  <si>
    <t>P20_phosph</t>
  </si>
  <si>
    <t>P21_dephosph_1</t>
  </si>
  <si>
    <t>P21_dephosph</t>
  </si>
  <si>
    <t>P21_phosph_5</t>
  </si>
  <si>
    <t>P21_phosph_4</t>
  </si>
  <si>
    <t>P21_phosph</t>
  </si>
  <si>
    <t>P22_dephosph_1</t>
  </si>
  <si>
    <t>P22_dephosph_2</t>
  </si>
  <si>
    <t>P22_dephosph</t>
  </si>
  <si>
    <t>P22_phosph_13</t>
  </si>
  <si>
    <t>P22_phosph_15</t>
  </si>
  <si>
    <t>P22_phosph_11</t>
  </si>
  <si>
    <t>P22_phosph_6</t>
  </si>
  <si>
    <t>P22_phosph_4</t>
  </si>
  <si>
    <t>P22_phosph_7</t>
  </si>
  <si>
    <t>P22_phosph</t>
  </si>
  <si>
    <t>P23_dephosph_2</t>
  </si>
  <si>
    <t>P23_dephosph</t>
  </si>
  <si>
    <t>P23_phosph_1</t>
  </si>
  <si>
    <t>P23_phosph</t>
  </si>
  <si>
    <t>P24_dephosph_1</t>
  </si>
  <si>
    <t>P24_dephosph</t>
  </si>
  <si>
    <t>P24_phosph_2</t>
  </si>
  <si>
    <t>P24_phosph_1</t>
  </si>
  <si>
    <t>P24_phosph</t>
  </si>
  <si>
    <t>P25_dephosph_1</t>
  </si>
  <si>
    <t>P25_dephosph</t>
  </si>
  <si>
    <t>P25_phosph_1</t>
  </si>
  <si>
    <t>P25_phosph</t>
  </si>
  <si>
    <t>P26_dephosph_1</t>
  </si>
  <si>
    <t>P26_dephosph</t>
  </si>
  <si>
    <t>P26_phosph_5</t>
  </si>
  <si>
    <t>P26_phosph_4</t>
  </si>
  <si>
    <t>P26_phosph_3</t>
  </si>
  <si>
    <t>P26_phosph_2</t>
  </si>
  <si>
    <t>P26_phosph_1</t>
  </si>
  <si>
    <t>P26_phosph</t>
  </si>
  <si>
    <t>P27_dephosph_1</t>
  </si>
  <si>
    <t>P27_dephosph</t>
  </si>
  <si>
    <t>P27_phosph_1</t>
  </si>
  <si>
    <t>P27_phosph_3</t>
  </si>
  <si>
    <t>P27_phosph_2</t>
  </si>
  <si>
    <t>P27_phosph</t>
  </si>
  <si>
    <t>P28_dephosph_1</t>
  </si>
  <si>
    <t>P28_dephosph</t>
  </si>
  <si>
    <t>P28_phosph_3</t>
  </si>
  <si>
    <t>P28_phosph_1</t>
  </si>
  <si>
    <t>P28_phosph_2</t>
  </si>
  <si>
    <t>P28_phosph</t>
  </si>
  <si>
    <t>P29_dephosph_1</t>
  </si>
  <si>
    <t>P29_dephosph</t>
  </si>
  <si>
    <t>P29_phosph_1</t>
  </si>
  <si>
    <t>P29_phosph</t>
  </si>
  <si>
    <t>P3_dephosph_1</t>
  </si>
  <si>
    <t>P3_dephosph</t>
  </si>
  <si>
    <t>P3_phosph_4</t>
  </si>
  <si>
    <t>P3_phosph_8</t>
  </si>
  <si>
    <t>P3_phosph_5</t>
  </si>
  <si>
    <t>P3_phosph_7</t>
  </si>
  <si>
    <t>P3_phosph_1</t>
  </si>
  <si>
    <t>P3_phosph_6</t>
  </si>
  <si>
    <t>P3_phosph</t>
  </si>
  <si>
    <t>P30_dephosph_1</t>
  </si>
  <si>
    <t>P30_dephosph_2</t>
  </si>
  <si>
    <t>P30_dephosph</t>
  </si>
  <si>
    <t>P30_phosph_3</t>
  </si>
  <si>
    <t>P30_phosph_2</t>
  </si>
  <si>
    <t>P30_phosph_1</t>
  </si>
  <si>
    <t>P30_phosph</t>
  </si>
  <si>
    <t>P31_dephosph_1</t>
  </si>
  <si>
    <t>P31_dephosph</t>
  </si>
  <si>
    <t>P31_phosph_1</t>
  </si>
  <si>
    <t>P31_phosph</t>
  </si>
  <si>
    <t>P32_dephosph_1</t>
  </si>
  <si>
    <t>P32_dephosph</t>
  </si>
  <si>
    <t>P32_phosph_3</t>
  </si>
  <si>
    <t>P32_phosph_2</t>
  </si>
  <si>
    <t>P32_phosph_1</t>
  </si>
  <si>
    <t>P32_phosph</t>
  </si>
  <si>
    <t>P33_dephosph_2</t>
  </si>
  <si>
    <t>P33_dephosph_1</t>
  </si>
  <si>
    <t>P33_dephosph</t>
  </si>
  <si>
    <t>P33_phosph_43</t>
  </si>
  <si>
    <t>P33_phosph_31</t>
  </si>
  <si>
    <t>P33_phosph_46</t>
  </si>
  <si>
    <t>P33_phosph_26</t>
  </si>
  <si>
    <t>P33_phosph_53</t>
  </si>
  <si>
    <t>P33_phosph_30</t>
  </si>
  <si>
    <t>P33_phosph_11</t>
  </si>
  <si>
    <t>P33_phosph_19</t>
  </si>
  <si>
    <t>P33_phosph_54</t>
  </si>
  <si>
    <t>P33_phosph_36</t>
  </si>
  <si>
    <t>P33_phosph_7</t>
  </si>
  <si>
    <t>P33_phosph_3</t>
  </si>
  <si>
    <t>P33_phosph</t>
  </si>
  <si>
    <t>P35_dephosph_1</t>
  </si>
  <si>
    <t>P35_dephosph</t>
  </si>
  <si>
    <t>P35_phosph_1</t>
  </si>
  <si>
    <t>P35_phosph</t>
  </si>
  <si>
    <t>P5_dephosph_2</t>
  </si>
  <si>
    <t>P5_dephosph</t>
  </si>
  <si>
    <t>P5_phosph_2</t>
  </si>
  <si>
    <t>P5_phosph_1</t>
  </si>
  <si>
    <t>P5_phosph</t>
  </si>
  <si>
    <t>P6_dephosph_1</t>
  </si>
  <si>
    <t>P6_dephosph</t>
  </si>
  <si>
    <t>P6_phosph_1</t>
  </si>
  <si>
    <t>P6_phosph</t>
  </si>
  <si>
    <t>P7_dephosph_1</t>
  </si>
  <si>
    <t>P7_dephosph</t>
  </si>
  <si>
    <t>P7_phosph_2</t>
  </si>
  <si>
    <t>P7_phosph</t>
  </si>
  <si>
    <t>P8_dephosph_1</t>
  </si>
  <si>
    <t>P8_dephosph_2</t>
  </si>
  <si>
    <t>P8_dephosph</t>
  </si>
  <si>
    <t>P8_phosph_1</t>
  </si>
  <si>
    <t>P8_phosph_2</t>
  </si>
  <si>
    <t>P8_phosph_3</t>
  </si>
  <si>
    <t>P8_phosph_4</t>
  </si>
  <si>
    <t>P8_phosph_5</t>
  </si>
  <si>
    <t>P8_phosph</t>
  </si>
  <si>
    <t>P9_dephosph_1</t>
  </si>
  <si>
    <t>P9_dephosph_2</t>
  </si>
  <si>
    <t>P9_dephosph</t>
  </si>
  <si>
    <t>P9_phosph_1</t>
  </si>
  <si>
    <t>P9_phosph_2</t>
  </si>
  <si>
    <t>P9_phosph</t>
  </si>
  <si>
    <t>Structure (*.out)</t>
  </si>
  <si>
    <t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</si>
</sst>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4">
    <font>
      <sz val="11"/>
      <name val="Carlito"/>
    </font>
    <font>
      <sz val="11"/>
      <name val="Carlito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2" xfId="1" applyFont="1" applyBorder="1"/>
    <xf numFmtId="0" fontId="2" fillId="0" borderId="1" xfId="1" applyFont="1" applyBorder="1"/>
    <xf numFmtId="0" fontId="3" fillId="0" borderId="0" xfId="0" applyFont="1"/>
    <xf numFmtId="0" fontId="3" fillId="0" borderId="2" xfId="1" applyFont="1" applyBorder="1"/>
    <xf numFmtId="164" fontId="3" fillId="0" borderId="2" xfId="1" applyNumberFormat="1" applyFont="1" applyBorder="1"/>
    <xf numFmtId="165" fontId="3" fillId="0" borderId="2" xfId="1" applyNumberFormat="1" applyFont="1" applyBorder="1"/>
    <xf numFmtId="2" fontId="3" fillId="0" borderId="1" xfId="1" applyNumberFormat="1" applyFont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topLeftCell="A253" workbookViewId="0">
      <selection activeCell="G269" sqref="G269"/>
    </sheetView>
  </sheetViews>
  <sheetFormatPr baseColWidth="10" defaultColWidth="8.83203125" defaultRowHeight="15"/>
  <cols>
    <col min="1" max="1" width="18.6640625" style="3" customWidth="1"/>
    <col min="2" max="2" width="22.5" style="3" customWidth="1"/>
    <col min="3" max="4" width="13" style="3" customWidth="1"/>
    <col min="5" max="5" width="11" style="3" customWidth="1"/>
    <col min="6" max="6" width="14" style="3" customWidth="1"/>
    <col min="7" max="7" width="12" style="3" customWidth="1"/>
    <col min="8" max="8" width="15" style="3" customWidth="1"/>
    <col min="9" max="9" width="17" style="3" customWidth="1"/>
    <col min="10" max="16384" width="8.83203125" style="3"/>
  </cols>
  <sheetData>
    <row r="1" spans="1:9">
      <c r="A1" s="1" t="s">
        <v>0</v>
      </c>
      <c r="B1" s="1" t="s">
        <v>218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>
      <c r="A2" s="4" t="s">
        <v>9</v>
      </c>
      <c r="B2" s="4" t="s">
        <v>8</v>
      </c>
      <c r="C2" s="5">
        <v>-76.430853999999997</v>
      </c>
      <c r="D2" s="5">
        <v>-76.424355000000006</v>
      </c>
      <c r="E2" s="6">
        <f>G2/SUM($G$2:$G$2)</f>
        <v>1</v>
      </c>
      <c r="F2" s="6">
        <f>(D2-MIN($D$2:$D$2))*2625.5</f>
        <v>0</v>
      </c>
      <c r="G2" s="6">
        <f>EXP(-F2*1000/(8.31*298.15))</f>
        <v>1</v>
      </c>
      <c r="H2" s="5">
        <f>D2*E2</f>
        <v>-76.424355000000006</v>
      </c>
      <c r="I2" s="7"/>
    </row>
    <row r="3" spans="1:9">
      <c r="A3" s="4"/>
      <c r="C3" s="5" t="s">
        <v>219</v>
      </c>
      <c r="D3" s="5">
        <f>SUMPRODUCT($D$2:$D$2,$E$2:$E$2)</f>
        <v>-76.424355000000006</v>
      </c>
      <c r="E3" s="6">
        <f>SUM($E$2:$E$2)</f>
        <v>1</v>
      </c>
      <c r="F3" s="6"/>
      <c r="G3" s="6"/>
      <c r="H3" s="5"/>
      <c r="I3" s="7"/>
    </row>
    <row r="4" spans="1:9">
      <c r="A4" s="4"/>
      <c r="B4" s="4"/>
      <c r="C4" s="5"/>
      <c r="D4" s="5"/>
      <c r="E4" s="6"/>
      <c r="F4" s="6"/>
      <c r="G4" s="6"/>
      <c r="H4" s="5"/>
      <c r="I4" s="7"/>
    </row>
    <row r="5" spans="1:9">
      <c r="A5" s="4" t="s">
        <v>11</v>
      </c>
      <c r="B5" s="4" t="s">
        <v>10</v>
      </c>
      <c r="C5" s="5">
        <v>-643.23573099999999</v>
      </c>
      <c r="D5" s="5">
        <v>-643.23673199999996</v>
      </c>
      <c r="E5" s="6">
        <f>G5/SUM($G$5:$G$5)</f>
        <v>1</v>
      </c>
      <c r="F5" s="6">
        <f>(D5-MIN($D$5:$D$5))*2625.5</f>
        <v>0</v>
      </c>
      <c r="G5" s="6">
        <f>EXP(-F5*1000/(8.31*298.15))</f>
        <v>1</v>
      </c>
      <c r="H5" s="5">
        <f>D5*E5</f>
        <v>-643.23673199999996</v>
      </c>
      <c r="I5" s="7"/>
    </row>
    <row r="6" spans="1:9">
      <c r="A6" s="4"/>
      <c r="C6" s="5" t="s">
        <v>219</v>
      </c>
      <c r="D6" s="5">
        <f>SUMPRODUCT($D$5:$D$5,$E$5:$E$5)</f>
        <v>-643.23673199999996</v>
      </c>
      <c r="E6" s="6">
        <f>SUM($E$5:$E$5)</f>
        <v>1</v>
      </c>
      <c r="F6" s="6"/>
      <c r="G6" s="6"/>
      <c r="H6" s="5"/>
      <c r="I6" s="7"/>
    </row>
    <row r="7" spans="1:9">
      <c r="A7" s="4"/>
      <c r="B7" s="4"/>
      <c r="C7" s="5"/>
      <c r="D7" s="5"/>
      <c r="E7" s="6"/>
      <c r="F7" s="6"/>
      <c r="G7" s="6"/>
      <c r="H7" s="5"/>
      <c r="I7" s="7"/>
    </row>
    <row r="8" spans="1:9">
      <c r="A8" s="4"/>
      <c r="B8" s="4"/>
      <c r="C8" s="5"/>
      <c r="D8" s="5"/>
      <c r="E8" s="6"/>
      <c r="F8" s="6"/>
      <c r="G8" s="6"/>
      <c r="H8" s="5"/>
      <c r="I8" s="7"/>
    </row>
    <row r="9" spans="1:9">
      <c r="A9" s="4" t="s">
        <v>14</v>
      </c>
      <c r="B9" s="4" t="s">
        <v>12</v>
      </c>
      <c r="C9" s="5">
        <v>-229.064798</v>
      </c>
      <c r="D9" s="5">
        <v>-229.027255</v>
      </c>
      <c r="E9" s="6">
        <f>G9/SUM($G$9:$G$10)</f>
        <v>0.51271346144494478</v>
      </c>
      <c r="F9" s="6">
        <f>(D9-MIN($D$9:$D$10))*2625.5</f>
        <v>0</v>
      </c>
      <c r="G9" s="6">
        <f>EXP(-F9*1000/(8.31*298.15))</f>
        <v>1</v>
      </c>
      <c r="H9" s="5">
        <f>D9*E9</f>
        <v>-117.42535667628404</v>
      </c>
      <c r="I9" s="7"/>
    </row>
    <row r="10" spans="1:9">
      <c r="A10" s="4"/>
      <c r="B10" s="4" t="s">
        <v>13</v>
      </c>
      <c r="C10" s="5">
        <v>-229.06366</v>
      </c>
      <c r="D10" s="5">
        <v>-229.027207</v>
      </c>
      <c r="E10" s="6">
        <f>G10/SUM($G$9:$G$10)</f>
        <v>0.48728653855505527</v>
      </c>
      <c r="F10" s="6">
        <f>(D10-MIN($D$9:$D$10))*2625.5</f>
        <v>0.12602399998030478</v>
      </c>
      <c r="G10" s="6">
        <f>EXP(-F10*1000/(8.31*298.15))</f>
        <v>0.95040714784778502</v>
      </c>
      <c r="H10" s="5">
        <f>D10*E10</f>
        <v>-111.60187493396212</v>
      </c>
      <c r="I10" s="7"/>
    </row>
    <row r="11" spans="1:9">
      <c r="A11" s="4"/>
      <c r="C11" s="5" t="s">
        <v>219</v>
      </c>
      <c r="D11" s="5">
        <f>SUMPRODUCT($D$9:$D$10,$E$9:$E$10)</f>
        <v>-229.02723161024616</v>
      </c>
      <c r="E11" s="6">
        <f>SUM($E$9:$E$10)</f>
        <v>1</v>
      </c>
      <c r="F11" s="6"/>
      <c r="G11" s="6"/>
      <c r="H11" s="5"/>
      <c r="I11" s="7"/>
    </row>
    <row r="12" spans="1:9">
      <c r="A12" s="4"/>
      <c r="B12" s="4"/>
      <c r="C12" s="5"/>
      <c r="D12" s="5"/>
      <c r="E12" s="6"/>
      <c r="F12" s="6"/>
      <c r="G12" s="6"/>
      <c r="H12" s="5"/>
      <c r="I12" s="7"/>
    </row>
    <row r="13" spans="1:9">
      <c r="A13" s="4" t="s">
        <v>16</v>
      </c>
      <c r="B13" s="4" t="s">
        <v>15</v>
      </c>
      <c r="C13" s="5">
        <v>-795.87212499999998</v>
      </c>
      <c r="D13" s="5">
        <v>-795.84236999999996</v>
      </c>
      <c r="E13" s="6">
        <f>G13/SUM($G$13:$G$13)</f>
        <v>1</v>
      </c>
      <c r="F13" s="6">
        <f>(D13-MIN($D$13:$D$13))*2625.5</f>
        <v>0</v>
      </c>
      <c r="G13" s="6">
        <f>EXP(-F13*1000/(8.31*298.15))</f>
        <v>1</v>
      </c>
      <c r="H13" s="5">
        <f>D13*E13</f>
        <v>-795.84236999999996</v>
      </c>
      <c r="I13" s="7"/>
    </row>
    <row r="14" spans="1:9">
      <c r="A14" s="4"/>
      <c r="C14" s="5" t="s">
        <v>219</v>
      </c>
      <c r="D14" s="5">
        <f>SUMPRODUCT($D$13:$D$13,$E$13:$E$13)</f>
        <v>-795.84236999999996</v>
      </c>
      <c r="E14" s="6">
        <f>SUM($E$13:$E$13)</f>
        <v>1</v>
      </c>
      <c r="F14" s="6"/>
      <c r="G14" s="6"/>
      <c r="H14" s="5"/>
      <c r="I14" s="7">
        <f>2625.5*((D11+$D$6)-(D14+$D$3))</f>
        <v>7.2500287986028411</v>
      </c>
    </row>
    <row r="15" spans="1:9">
      <c r="A15" s="4"/>
      <c r="B15" s="4"/>
      <c r="C15" s="5"/>
      <c r="D15" s="5"/>
      <c r="E15" s="6"/>
      <c r="F15" s="6"/>
      <c r="G15" s="6"/>
      <c r="H15" s="5"/>
      <c r="I15" s="7"/>
    </row>
    <row r="16" spans="1:9">
      <c r="A16" s="4" t="s">
        <v>83</v>
      </c>
      <c r="B16" s="4" t="s">
        <v>82</v>
      </c>
      <c r="C16" s="5">
        <v>-57.009850999999998</v>
      </c>
      <c r="D16" s="5">
        <v>-56.977508</v>
      </c>
      <c r="E16" s="6">
        <f>G16/SUM($G$16:$G$16)</f>
        <v>1</v>
      </c>
      <c r="F16" s="6">
        <f>(D16-MIN($D$16:$D$16))*2625.5</f>
        <v>0</v>
      </c>
      <c r="G16" s="6">
        <f>EXP(-F16*1000/(8.31*298.15))</f>
        <v>1</v>
      </c>
      <c r="H16" s="5">
        <f>D16*E16</f>
        <v>-56.977508</v>
      </c>
      <c r="I16" s="7"/>
    </row>
    <row r="17" spans="1:9">
      <c r="A17" s="4"/>
      <c r="C17" s="5" t="s">
        <v>219</v>
      </c>
      <c r="D17" s="5">
        <f>SUMPRODUCT($D$16:$D$16,$E$16:$E$16)</f>
        <v>-56.977508</v>
      </c>
      <c r="E17" s="6">
        <f>SUM($E$16:$E$16)</f>
        <v>1</v>
      </c>
      <c r="F17" s="6"/>
      <c r="G17" s="6"/>
      <c r="H17" s="5"/>
      <c r="I17" s="7"/>
    </row>
    <row r="18" spans="1:9">
      <c r="A18" s="4"/>
      <c r="C18" s="5"/>
      <c r="D18" s="5"/>
      <c r="E18" s="6"/>
      <c r="F18" s="6"/>
      <c r="G18" s="6"/>
      <c r="H18" s="5"/>
      <c r="I18" s="7"/>
    </row>
    <row r="19" spans="1:9">
      <c r="A19" s="4" t="s">
        <v>85</v>
      </c>
      <c r="B19" s="4" t="s">
        <v>84</v>
      </c>
      <c r="C19" s="5">
        <v>-623.81944199999998</v>
      </c>
      <c r="D19" s="5">
        <v>-623.79513499999996</v>
      </c>
      <c r="E19" s="6">
        <f>G19/SUM($G$19:$G$19)</f>
        <v>1</v>
      </c>
      <c r="F19" s="6">
        <f>(D19-MIN($D$19:$D$19))*2625.5</f>
        <v>0</v>
      </c>
      <c r="G19" s="6">
        <f>EXP(-F19*1000/(8.31*298.15))</f>
        <v>1</v>
      </c>
      <c r="H19" s="5">
        <f>D19*E19</f>
        <v>-623.79513499999996</v>
      </c>
      <c r="I19" s="7"/>
    </row>
    <row r="20" spans="1:9">
      <c r="A20" s="4"/>
      <c r="C20" s="5" t="s">
        <v>219</v>
      </c>
      <c r="D20" s="5">
        <f>SUMPRODUCT($D$19:$D$19,$E$19:$E$19)</f>
        <v>-623.79513499999996</v>
      </c>
      <c r="E20" s="6">
        <f>SUM($E$19:$E$19)</f>
        <v>1</v>
      </c>
      <c r="F20" s="6"/>
      <c r="G20" s="6"/>
      <c r="H20" s="5"/>
      <c r="I20" s="7">
        <f>2625.5*((D17+$D$6)-(D20+$D$3))</f>
        <v>13.783874999823297</v>
      </c>
    </row>
    <row r="21" spans="1:9">
      <c r="A21" s="4"/>
      <c r="B21" s="4"/>
      <c r="C21" s="5"/>
      <c r="D21" s="5"/>
      <c r="E21" s="6"/>
      <c r="F21" s="6"/>
      <c r="G21" s="6"/>
      <c r="H21" s="5"/>
      <c r="I21" s="7"/>
    </row>
    <row r="22" spans="1:9">
      <c r="A22" s="4" t="s">
        <v>145</v>
      </c>
      <c r="B22" s="4" t="s">
        <v>144</v>
      </c>
      <c r="C22" s="5">
        <v>-226.63569100000001</v>
      </c>
      <c r="D22" s="5">
        <v>-226.57406900000001</v>
      </c>
      <c r="E22" s="6">
        <f>G22/SUM($G$22:$G$22)</f>
        <v>1</v>
      </c>
      <c r="F22" s="6">
        <f>(D22-MIN($D$22:$D$22))*2625.5</f>
        <v>0</v>
      </c>
      <c r="G22" s="6">
        <f>EXP(-F22*1000/(8.31*298.15))</f>
        <v>1</v>
      </c>
      <c r="H22" s="5">
        <f>D22*E22</f>
        <v>-226.57406900000001</v>
      </c>
      <c r="I22" s="7"/>
    </row>
    <row r="23" spans="1:9">
      <c r="A23" s="4"/>
      <c r="C23" s="5" t="s">
        <v>219</v>
      </c>
      <c r="D23" s="5">
        <f>SUMPRODUCT($D$22:$D$22,$E$22:$E$22)</f>
        <v>-226.57406900000001</v>
      </c>
      <c r="E23" s="6">
        <f>SUM($E$22:$E$22)</f>
        <v>1</v>
      </c>
      <c r="F23" s="6"/>
      <c r="G23" s="6"/>
      <c r="H23" s="5"/>
      <c r="I23" s="7"/>
    </row>
    <row r="24" spans="1:9">
      <c r="A24" s="4"/>
      <c r="B24" s="4"/>
      <c r="C24" s="5"/>
      <c r="D24" s="5"/>
      <c r="E24" s="6"/>
      <c r="F24" s="6"/>
      <c r="G24" s="6"/>
      <c r="H24" s="5"/>
      <c r="I24" s="7"/>
    </row>
    <row r="25" spans="1:9">
      <c r="A25" s="4" t="s">
        <v>152</v>
      </c>
      <c r="B25" s="4" t="s">
        <v>146</v>
      </c>
      <c r="C25" s="5">
        <v>-793.45016599999997</v>
      </c>
      <c r="D25" s="5">
        <v>-793.39638300000001</v>
      </c>
      <c r="E25" s="6">
        <f t="shared" ref="E25:E30" si="0">G25/SUM($G$25:$G$30)</f>
        <v>0.21224882944780452</v>
      </c>
      <c r="F25" s="6">
        <f t="shared" ref="F25:F30" si="1">(D25-MIN($D$25:$D$30))*2625.5</f>
        <v>0</v>
      </c>
      <c r="G25" s="6">
        <f t="shared" ref="G25:G30" si="2">EXP(-F25*1000/(8.31*298.15))</f>
        <v>1</v>
      </c>
      <c r="H25" s="5">
        <f t="shared" ref="H25:H30" si="3">D25*E25</f>
        <v>-168.39745357987201</v>
      </c>
      <c r="I25" s="7"/>
    </row>
    <row r="26" spans="1:9">
      <c r="A26" s="4"/>
      <c r="B26" s="4" t="s">
        <v>147</v>
      </c>
      <c r="C26" s="5">
        <v>-793.45012199999996</v>
      </c>
      <c r="D26" s="5">
        <v>-793.39627299999995</v>
      </c>
      <c r="E26" s="6">
        <f t="shared" si="0"/>
        <v>0.18889553202656739</v>
      </c>
      <c r="F26" s="6">
        <f t="shared" si="1"/>
        <v>0.28880500016629185</v>
      </c>
      <c r="G26" s="6">
        <f t="shared" si="2"/>
        <v>0.8899720790828668</v>
      </c>
      <c r="H26" s="5">
        <f t="shared" si="3"/>
        <v>-149.86901109623071</v>
      </c>
      <c r="I26" s="7"/>
    </row>
    <row r="27" spans="1:9">
      <c r="A27" s="4"/>
      <c r="B27" s="4" t="s">
        <v>148</v>
      </c>
      <c r="C27" s="5">
        <v>-793.45006000000001</v>
      </c>
      <c r="D27" s="5">
        <v>-793.39620200000002</v>
      </c>
      <c r="E27" s="6">
        <f t="shared" si="0"/>
        <v>0.17520497793221995</v>
      </c>
      <c r="F27" s="6">
        <f t="shared" si="1"/>
        <v>0.47521549999413537</v>
      </c>
      <c r="G27" s="6">
        <f t="shared" si="2"/>
        <v>0.82546970170832323</v>
      </c>
      <c r="H27" s="5">
        <f t="shared" si="3"/>
        <v>-139.00696406291712</v>
      </c>
      <c r="I27" s="7"/>
    </row>
    <row r="28" spans="1:9">
      <c r="A28" s="4"/>
      <c r="B28" s="4" t="s">
        <v>149</v>
      </c>
      <c r="C28" s="5">
        <v>-793.450065</v>
      </c>
      <c r="D28" s="5">
        <v>-793.39603</v>
      </c>
      <c r="E28" s="6">
        <f t="shared" si="0"/>
        <v>0.14601232317615914</v>
      </c>
      <c r="F28" s="6">
        <f t="shared" si="1"/>
        <v>0.92680150004792949</v>
      </c>
      <c r="G28" s="6">
        <f t="shared" si="2"/>
        <v>0.68792993372934474</v>
      </c>
      <c r="H28" s="5">
        <f t="shared" si="3"/>
        <v>-115.84559753904165</v>
      </c>
      <c r="I28" s="7"/>
    </row>
    <row r="29" spans="1:9">
      <c r="A29" s="4"/>
      <c r="B29" s="4" t="s">
        <v>150</v>
      </c>
      <c r="C29" s="5">
        <v>-793.450108</v>
      </c>
      <c r="D29" s="5">
        <v>-793.39602100000002</v>
      </c>
      <c r="E29" s="6">
        <f t="shared" si="0"/>
        <v>0.14462640087152295</v>
      </c>
      <c r="F29" s="6">
        <f t="shared" si="1"/>
        <v>0.95043099998827074</v>
      </c>
      <c r="G29" s="6">
        <f t="shared" si="2"/>
        <v>0.68140022843842807</v>
      </c>
      <c r="H29" s="5">
        <f t="shared" si="3"/>
        <v>-114.74601098301724</v>
      </c>
      <c r="I29" s="7"/>
    </row>
    <row r="30" spans="1:9">
      <c r="A30" s="4"/>
      <c r="B30" s="4" t="s">
        <v>151</v>
      </c>
      <c r="C30" s="5">
        <v>-793.45009700000003</v>
      </c>
      <c r="D30" s="5">
        <v>-793.39594199999999</v>
      </c>
      <c r="E30" s="6">
        <f t="shared" si="0"/>
        <v>0.13301193654572604</v>
      </c>
      <c r="F30" s="6">
        <f t="shared" si="1"/>
        <v>1.1578455000615691</v>
      </c>
      <c r="G30" s="6">
        <f t="shared" si="2"/>
        <v>0.626679246673706</v>
      </c>
      <c r="H30" s="5">
        <f t="shared" si="3"/>
        <v>-105.53113069294054</v>
      </c>
      <c r="I30" s="7"/>
    </row>
    <row r="31" spans="1:9">
      <c r="A31" s="4"/>
      <c r="C31" s="5" t="s">
        <v>219</v>
      </c>
      <c r="D31" s="5">
        <f>SUMPRODUCT($D$25:$D$30,$E$25:$E$30)</f>
        <v>-793.39616795401923</v>
      </c>
      <c r="E31" s="6">
        <f>SUM($E$25:$E$30)</f>
        <v>1.0000000000000002</v>
      </c>
      <c r="F31" s="6"/>
      <c r="G31" s="6"/>
      <c r="H31" s="5"/>
      <c r="I31" s="7">
        <f>2625.5*((D23+$D$6)-(D31+$D$3))</f>
        <v>25.524990277555219</v>
      </c>
    </row>
    <row r="32" spans="1:9">
      <c r="A32" s="4"/>
      <c r="B32" s="4"/>
      <c r="C32" s="5"/>
      <c r="D32" s="5"/>
      <c r="E32" s="6"/>
      <c r="F32" s="6"/>
      <c r="G32" s="6"/>
      <c r="H32" s="5"/>
      <c r="I32" s="7"/>
    </row>
    <row r="33" spans="1:9">
      <c r="A33" s="4" t="s">
        <v>191</v>
      </c>
      <c r="B33" s="4" t="s">
        <v>190</v>
      </c>
      <c r="C33" s="5">
        <v>-716.41229899999996</v>
      </c>
      <c r="D33" s="5">
        <v>-716.33803699999999</v>
      </c>
      <c r="E33" s="6">
        <f>G33/SUM($G$33:$G$34)</f>
        <v>0.995593600668781</v>
      </c>
      <c r="F33" s="6">
        <f>(D33-MIN($D$33:$D$34))*2625.5</f>
        <v>0</v>
      </c>
      <c r="G33" s="6">
        <f>EXP(-F33*1000/(8.31*298.15))</f>
        <v>1</v>
      </c>
      <c r="H33" s="5">
        <f>D33*E33</f>
        <v>-713.18156555283645</v>
      </c>
      <c r="I33" s="7"/>
    </row>
    <row r="34" spans="1:9">
      <c r="A34" s="4"/>
      <c r="B34" s="4" t="s">
        <v>191</v>
      </c>
      <c r="C34" s="5">
        <v>-716.40646700000002</v>
      </c>
      <c r="D34" s="5">
        <v>-716.33292200000005</v>
      </c>
      <c r="E34" s="6">
        <f>G34/SUM($G$33:$G$34)</f>
        <v>4.4063993312188831E-3</v>
      </c>
      <c r="F34" s="6">
        <f>(D34-MIN($D$33:$D$34))*2625.5</f>
        <v>13.429432499822724</v>
      </c>
      <c r="G34" s="6">
        <f>EXP(-F34*1000/(8.31*298.15))</f>
        <v>4.4259016211624144E-3</v>
      </c>
      <c r="H34" s="5">
        <f>D34*E34</f>
        <v>-3.1564489084308684</v>
      </c>
      <c r="I34" s="7"/>
    </row>
    <row r="35" spans="1:9">
      <c r="A35" s="4"/>
      <c r="C35" s="5" t="s">
        <v>219</v>
      </c>
      <c r="D35" s="5">
        <f>SUMPRODUCT($D$33:$D$34,$E$33:$E$34)</f>
        <v>-716.33801446126733</v>
      </c>
      <c r="E35" s="6">
        <f>SUM($E$33:$E$34)</f>
        <v>0.99999999999999989</v>
      </c>
      <c r="F35" s="6"/>
      <c r="G35" s="6"/>
      <c r="H35" s="5"/>
      <c r="I35" s="7"/>
    </row>
    <row r="36" spans="1:9">
      <c r="A36" s="4"/>
      <c r="B36" s="4"/>
      <c r="C36" s="5"/>
      <c r="D36" s="5"/>
      <c r="E36" s="6"/>
      <c r="F36" s="6"/>
      <c r="G36" s="6"/>
      <c r="H36" s="5"/>
      <c r="I36" s="7"/>
    </row>
    <row r="37" spans="1:9">
      <c r="A37" s="4" t="s">
        <v>194</v>
      </c>
      <c r="B37" s="4" t="s">
        <v>192</v>
      </c>
      <c r="C37" s="5">
        <v>-1283.220802</v>
      </c>
      <c r="D37" s="5">
        <v>-1283.152859</v>
      </c>
      <c r="E37" s="6">
        <f>G37/SUM($G$37:$G$38)</f>
        <v>0.97054048838853413</v>
      </c>
      <c r="F37" s="6">
        <f>(D37-MIN($D$37:$D$38))*2625.5</f>
        <v>0</v>
      </c>
      <c r="G37" s="6">
        <f>EXP(-F37*1000/(8.31*298.15))</f>
        <v>1</v>
      </c>
      <c r="H37" s="5">
        <f>D37*E37</f>
        <v>-1245.351802451004</v>
      </c>
      <c r="I37" s="7"/>
    </row>
    <row r="38" spans="1:9">
      <c r="A38" s="4"/>
      <c r="B38" s="4" t="s">
        <v>193</v>
      </c>
      <c r="C38" s="5">
        <v>-1283.2180800000001</v>
      </c>
      <c r="D38" s="5">
        <v>-1283.1495609999999</v>
      </c>
      <c r="E38" s="6">
        <f>G38/SUM($G$37:$G$38)</f>
        <v>2.9459511611465945E-2</v>
      </c>
      <c r="F38" s="6">
        <f>(D38-MIN($D$37:$D$38))*2625.5</f>
        <v>8.6588990002262562</v>
      </c>
      <c r="G38" s="6">
        <f>EXP(-F38*1000/(8.31*298.15))</f>
        <v>3.0353717298677488E-2</v>
      </c>
      <c r="H38" s="5">
        <f>D38*E38</f>
        <v>-37.800959391526931</v>
      </c>
      <c r="I38" s="7"/>
    </row>
    <row r="39" spans="1:9">
      <c r="A39" s="4"/>
      <c r="C39" s="5" t="s">
        <v>219</v>
      </c>
      <c r="D39" s="5">
        <f>SUMPRODUCT($D$37:$D$38,$E$37:$E$38)</f>
        <v>-1283.1527618425309</v>
      </c>
      <c r="E39" s="6">
        <f>SUM($E$37:$E$38)</f>
        <v>1</v>
      </c>
      <c r="F39" s="6"/>
      <c r="G39" s="6"/>
      <c r="H39" s="5"/>
      <c r="I39" s="7">
        <f>2625.5*((D35+$D$6)-(D39+$D$3))</f>
        <v>6.2234360079625048</v>
      </c>
    </row>
    <row r="40" spans="1:9">
      <c r="A40" s="4"/>
      <c r="B40" s="4"/>
      <c r="C40" s="5"/>
      <c r="D40" s="5"/>
      <c r="E40" s="6"/>
      <c r="F40" s="6"/>
      <c r="G40" s="6"/>
      <c r="H40" s="5"/>
      <c r="I40" s="7"/>
    </row>
    <row r="41" spans="1:9">
      <c r="A41" s="4" t="s">
        <v>196</v>
      </c>
      <c r="B41" s="4" t="s">
        <v>195</v>
      </c>
      <c r="C41" s="5">
        <v>-2605.2953029999999</v>
      </c>
      <c r="D41" s="5">
        <v>-2605.276476</v>
      </c>
      <c r="E41" s="6">
        <f>G41/SUM($G$41:$G$41)</f>
        <v>1</v>
      </c>
      <c r="F41" s="6">
        <f>(D41-MIN($D$41:$D$41))*2625.5</f>
        <v>0</v>
      </c>
      <c r="G41" s="6">
        <f>EXP(-F41*1000/(8.31*298.15))</f>
        <v>1</v>
      </c>
      <c r="H41" s="5">
        <f>D41*E41</f>
        <v>-2605.276476</v>
      </c>
      <c r="I41" s="7"/>
    </row>
    <row r="42" spans="1:9">
      <c r="A42" s="4"/>
      <c r="C42" s="5" t="s">
        <v>219</v>
      </c>
      <c r="D42" s="5">
        <f>SUMPRODUCT($D$41:$D$41,$E$41:$E$41)</f>
        <v>-2605.276476</v>
      </c>
      <c r="E42" s="6">
        <f>SUM($E$41:$E$41)</f>
        <v>1</v>
      </c>
      <c r="F42" s="6"/>
      <c r="G42" s="6"/>
      <c r="H42" s="5"/>
      <c r="I42" s="7"/>
    </row>
    <row r="43" spans="1:9">
      <c r="A43" s="4"/>
      <c r="B43" s="4"/>
      <c r="C43" s="5"/>
      <c r="D43" s="5"/>
      <c r="E43" s="6"/>
      <c r="F43" s="6"/>
      <c r="G43" s="6"/>
      <c r="H43" s="5"/>
      <c r="I43" s="7"/>
    </row>
    <row r="44" spans="1:9">
      <c r="A44" s="4" t="s">
        <v>198</v>
      </c>
      <c r="B44" s="4" t="s">
        <v>197</v>
      </c>
      <c r="C44" s="5">
        <v>-3172.1036650000001</v>
      </c>
      <c r="D44" s="5">
        <v>-3172.088714</v>
      </c>
      <c r="E44" s="6">
        <f>G44/SUM($G$44:$G$44)</f>
        <v>1</v>
      </c>
      <c r="F44" s="6">
        <f>(D44-MIN($D$44:$D$44))*2625.5</f>
        <v>0</v>
      </c>
      <c r="G44" s="6">
        <f>EXP(-F44*1000/(8.31*298.15))</f>
        <v>1</v>
      </c>
      <c r="H44" s="5">
        <f>D44*E44</f>
        <v>-3172.088714</v>
      </c>
      <c r="I44" s="7"/>
    </row>
    <row r="45" spans="1:9">
      <c r="A45" s="4"/>
      <c r="C45" s="5" t="s">
        <v>219</v>
      </c>
      <c r="D45" s="5">
        <f>SUMPRODUCT($D$44:$D$44,$E$44:$E$44)</f>
        <v>-3172.088714</v>
      </c>
      <c r="E45" s="6">
        <f>SUM($E$44:$E$44)</f>
        <v>1</v>
      </c>
      <c r="F45" s="6"/>
      <c r="G45" s="6"/>
      <c r="H45" s="5"/>
      <c r="I45" s="7">
        <f>2625.5*((D42+$D$6)-(D45+$D$3))</f>
        <v>-0.3649444993770885</v>
      </c>
    </row>
    <row r="46" spans="1:9">
      <c r="A46" s="4"/>
      <c r="B46" s="4"/>
      <c r="C46" s="5"/>
      <c r="D46" s="5"/>
      <c r="E46" s="6"/>
      <c r="F46" s="6"/>
      <c r="G46" s="6"/>
      <c r="H46" s="5"/>
      <c r="I46" s="7"/>
    </row>
    <row r="47" spans="1:9">
      <c r="A47" s="4" t="s">
        <v>200</v>
      </c>
      <c r="B47" s="4" t="s">
        <v>199</v>
      </c>
      <c r="C47" s="5">
        <v>-382.63069899999999</v>
      </c>
      <c r="D47" s="5">
        <v>-382.48695199999997</v>
      </c>
      <c r="E47" s="6">
        <f>G47/SUM($G$47:$G$47)</f>
        <v>1</v>
      </c>
      <c r="F47" s="6">
        <f>(D47-MIN($D$47:$D$47))*2625.5</f>
        <v>0</v>
      </c>
      <c r="G47" s="6">
        <f>EXP(-F47*1000/(8.31*298.15))</f>
        <v>1</v>
      </c>
      <c r="H47" s="5">
        <f>D47*E47</f>
        <v>-382.48695199999997</v>
      </c>
      <c r="I47" s="7"/>
    </row>
    <row r="48" spans="1:9">
      <c r="A48" s="4"/>
      <c r="C48" s="5" t="s">
        <v>219</v>
      </c>
      <c r="D48" s="5">
        <f>SUMPRODUCT($D$47:$D$47,$E$47:$E$47)</f>
        <v>-382.48695199999997</v>
      </c>
      <c r="E48" s="6">
        <f>SUM($E$47:$E$47)</f>
        <v>1</v>
      </c>
      <c r="F48" s="6"/>
      <c r="G48" s="6"/>
      <c r="H48" s="5"/>
      <c r="I48" s="7"/>
    </row>
    <row r="49" spans="1:9">
      <c r="A49" s="4"/>
      <c r="B49" s="4"/>
      <c r="C49" s="5"/>
      <c r="D49" s="5"/>
      <c r="E49" s="6"/>
      <c r="F49" s="6"/>
      <c r="G49" s="6"/>
      <c r="H49" s="5"/>
      <c r="I49" s="7"/>
    </row>
    <row r="50" spans="1:9">
      <c r="A50" s="4" t="s">
        <v>202</v>
      </c>
      <c r="B50" s="4" t="s">
        <v>201</v>
      </c>
      <c r="C50" s="5">
        <v>-949.44037800000001</v>
      </c>
      <c r="D50" s="5">
        <v>-949.30215599999997</v>
      </c>
      <c r="E50" s="6">
        <f>G50/SUM($G$50:$G$50)</f>
        <v>1</v>
      </c>
      <c r="F50" s="6">
        <f>(D50-MIN($D$50:$D$50))*2625.5</f>
        <v>0</v>
      </c>
      <c r="G50" s="6">
        <f>EXP(-F50*1000/(8.31*298.15))</f>
        <v>1</v>
      </c>
      <c r="H50" s="5">
        <f>D50*E50</f>
        <v>-949.30215599999997</v>
      </c>
      <c r="I50" s="7"/>
    </row>
    <row r="51" spans="1:9">
      <c r="A51" s="4"/>
      <c r="C51" s="5" t="s">
        <v>219</v>
      </c>
      <c r="D51" s="5">
        <f>SUMPRODUCT($D$50:$D$50,$E$50:$E$50)</f>
        <v>-949.30215599999997</v>
      </c>
      <c r="E51" s="6">
        <f>SUM($E$50:$E$50)</f>
        <v>1</v>
      </c>
      <c r="F51" s="6"/>
      <c r="G51" s="6"/>
      <c r="H51" s="5"/>
      <c r="I51" s="7">
        <f>2625.5*((D48+$D$6)-(D51+$D$3))</f>
        <v>7.4222885000650649</v>
      </c>
    </row>
    <row r="52" spans="1:9">
      <c r="A52" s="4"/>
      <c r="B52" s="4"/>
      <c r="C52" s="5"/>
      <c r="D52" s="5"/>
      <c r="E52" s="6"/>
      <c r="F52" s="6"/>
      <c r="G52" s="6"/>
      <c r="H52" s="5"/>
      <c r="I52" s="7"/>
    </row>
    <row r="53" spans="1:9">
      <c r="A53" s="4" t="s">
        <v>205</v>
      </c>
      <c r="B53" s="4" t="s">
        <v>203</v>
      </c>
      <c r="C53" s="5">
        <v>-535.24253999999996</v>
      </c>
      <c r="D53" s="5">
        <v>-535.058359</v>
      </c>
      <c r="E53" s="6">
        <f>G53/SUM($G$53:$G$54)</f>
        <v>0.95833769970840799</v>
      </c>
      <c r="F53" s="6">
        <f>(D53-MIN($D$53:$D$54))*2625.5</f>
        <v>0</v>
      </c>
      <c r="G53" s="6">
        <f>EXP(-F53*1000/(8.31*298.15))</f>
        <v>1</v>
      </c>
      <c r="H53" s="5">
        <f>D53*E53</f>
        <v>-512.76659697381558</v>
      </c>
      <c r="I53" s="7"/>
    </row>
    <row r="54" spans="1:9">
      <c r="A54" s="4"/>
      <c r="B54" s="4" t="s">
        <v>204</v>
      </c>
      <c r="C54" s="5">
        <v>-535.23878999999999</v>
      </c>
      <c r="D54" s="5">
        <v>-535.05539999999996</v>
      </c>
      <c r="E54" s="6">
        <f>G54/SUM($G$53:$G$54)</f>
        <v>4.1662300291592104E-2</v>
      </c>
      <c r="F54" s="6">
        <f>(D54-MIN($D$53:$D$54))*2625.5</f>
        <v>7.7688545000855243</v>
      </c>
      <c r="G54" s="6">
        <f>EXP(-F54*1000/(8.31*298.15))</f>
        <v>4.3473506577345992E-2</v>
      </c>
      <c r="H54" s="5">
        <f>D54*E54</f>
        <v>-22.291638747437929</v>
      </c>
      <c r="I54" s="7"/>
    </row>
    <row r="55" spans="1:9">
      <c r="A55" s="4"/>
      <c r="C55" s="5" t="s">
        <v>219</v>
      </c>
      <c r="D55" s="5">
        <f>SUMPRODUCT($D$53:$D$54,$E$53:$E$54)</f>
        <v>-535.05823572125348</v>
      </c>
      <c r="E55" s="6">
        <f>SUM($E$53:$E$54)</f>
        <v>1</v>
      </c>
      <c r="F55" s="6"/>
      <c r="G55" s="6"/>
      <c r="H55" s="5"/>
      <c r="I55" s="7"/>
    </row>
    <row r="56" spans="1:9">
      <c r="A56" s="4"/>
      <c r="B56" s="4"/>
      <c r="C56" s="5"/>
      <c r="D56" s="5"/>
      <c r="E56" s="6"/>
      <c r="F56" s="6"/>
      <c r="G56" s="6"/>
      <c r="H56" s="5"/>
      <c r="I56" s="7"/>
    </row>
    <row r="57" spans="1:9">
      <c r="A57" s="4" t="s">
        <v>211</v>
      </c>
      <c r="B57" s="4" t="s">
        <v>206</v>
      </c>
      <c r="C57" s="5">
        <v>-1102.0530530000001</v>
      </c>
      <c r="D57" s="5">
        <v>-1101.874403</v>
      </c>
      <c r="E57" s="6">
        <f>G57/SUM($G$57:$G$61)</f>
        <v>0.48709848599789368</v>
      </c>
      <c r="F57" s="6">
        <f>(D57-MIN($D$57:$D$61))*2625.5</f>
        <v>0</v>
      </c>
      <c r="G57" s="6">
        <f>EXP(-F57*1000/(8.31*298.15))</f>
        <v>1</v>
      </c>
      <c r="H57" s="5">
        <f>D57*E57</f>
        <v>-536.72135346113294</v>
      </c>
      <c r="I57" s="7"/>
    </row>
    <row r="58" spans="1:9">
      <c r="A58" s="4"/>
      <c r="B58" s="4" t="s">
        <v>207</v>
      </c>
      <c r="C58" s="5">
        <v>-1102.0531739999999</v>
      </c>
      <c r="D58" s="5">
        <v>-1101.8743770000001</v>
      </c>
      <c r="E58" s="6">
        <f>G58/SUM($G$57:$G$61)</f>
        <v>0.4738612516727293</v>
      </c>
      <c r="F58" s="6">
        <f>(D58-MIN($D$57:$D$61))*2625.5</f>
        <v>6.8262999827652493E-2</v>
      </c>
      <c r="G58" s="6">
        <f>EXP(-F58*1000/(8.31*298.15))</f>
        <v>0.97282431642536116</v>
      </c>
      <c r="H58" s="5">
        <f>D58*E58</f>
        <v>-522.13557147132883</v>
      </c>
      <c r="I58" s="7"/>
    </row>
    <row r="59" spans="1:9">
      <c r="A59" s="4"/>
      <c r="B59" s="4" t="s">
        <v>208</v>
      </c>
      <c r="C59" s="5">
        <v>-1102.0489500000001</v>
      </c>
      <c r="D59" s="5">
        <v>-1101.8716509999999</v>
      </c>
      <c r="E59" s="6">
        <f>G59/SUM($G$57:$G$61)</f>
        <v>2.6369742963057746E-2</v>
      </c>
      <c r="F59" s="6">
        <f>(D59-MIN($D$57:$D$61))*2625.5</f>
        <v>7.2253760002637364</v>
      </c>
      <c r="G59" s="6">
        <f>EXP(-F59*1000/(8.31*298.15))</f>
        <v>5.4136368149524022E-2</v>
      </c>
      <c r="H59" s="5">
        <f>D59*E59</f>
        <v>-29.056072215150071</v>
      </c>
      <c r="I59" s="7"/>
    </row>
    <row r="60" spans="1:9">
      <c r="A60" s="4"/>
      <c r="B60" s="4" t="s">
        <v>209</v>
      </c>
      <c r="C60" s="5">
        <v>-1102.0488359999999</v>
      </c>
      <c r="D60" s="5">
        <v>-1101.870326</v>
      </c>
      <c r="E60" s="6">
        <f>G60/SUM($G$57:$G$61)</f>
        <v>6.476217193106858E-3</v>
      </c>
      <c r="F60" s="6">
        <f>(D60-MIN($D$57:$D$61))*2625.5</f>
        <v>10.704163500136701</v>
      </c>
      <c r="G60" s="6">
        <f>EXP(-F60*1000/(8.31*298.15))</f>
        <v>1.3295498506507086E-2</v>
      </c>
      <c r="H60" s="5">
        <f>D60*E60</f>
        <v>-7.1359515498154584</v>
      </c>
      <c r="I60" s="7"/>
    </row>
    <row r="61" spans="1:9">
      <c r="A61" s="4"/>
      <c r="B61" s="4" t="s">
        <v>210</v>
      </c>
      <c r="C61" s="5">
        <v>-1102.0487410000001</v>
      </c>
      <c r="D61" s="5">
        <v>-1101.8702840000001</v>
      </c>
      <c r="E61" s="6">
        <f>G61/SUM($G$57:$G$61)</f>
        <v>6.1943021732125307E-3</v>
      </c>
      <c r="F61" s="6">
        <f>(D61-MIN($D$57:$D$61))*2625.5</f>
        <v>10.814434499858294</v>
      </c>
      <c r="G61" s="6">
        <f>EXP(-F61*1000/(8.31*298.15))</f>
        <v>1.2716734605574849E-2</v>
      </c>
      <c r="H61" s="5">
        <f>D61*E61</f>
        <v>-6.825317494779509</v>
      </c>
      <c r="I61" s="7"/>
    </row>
    <row r="62" spans="1:9">
      <c r="A62" s="4"/>
      <c r="C62" s="5" t="s">
        <v>219</v>
      </c>
      <c r="D62" s="5">
        <f>SUMPRODUCT($D$57:$D$61,$E$57:$E$61)</f>
        <v>-1101.874266192207</v>
      </c>
      <c r="E62" s="6">
        <f>SUM($E$57:$E$61)</f>
        <v>1</v>
      </c>
      <c r="F62" s="6"/>
      <c r="G62" s="6"/>
      <c r="H62" s="5"/>
      <c r="I62" s="7">
        <f>2625.5*((D55+$D$6)-(D62+$D$3))</f>
        <v>9.5921879887363275</v>
      </c>
    </row>
    <row r="63" spans="1:9">
      <c r="A63" s="4"/>
      <c r="B63" s="4"/>
      <c r="C63" s="5"/>
      <c r="D63" s="5"/>
      <c r="E63" s="6"/>
      <c r="F63" s="6"/>
      <c r="G63" s="6"/>
      <c r="H63" s="5"/>
      <c r="I63" s="7"/>
    </row>
    <row r="64" spans="1:9">
      <c r="A64" s="4" t="s">
        <v>214</v>
      </c>
      <c r="B64" s="4" t="s">
        <v>212</v>
      </c>
      <c r="C64" s="5">
        <v>-537.46539199999995</v>
      </c>
      <c r="D64" s="5">
        <v>-537.249773</v>
      </c>
      <c r="E64" s="6">
        <f>G64/SUM($G$64:$G$65)</f>
        <v>0.67039850080007246</v>
      </c>
      <c r="F64" s="6">
        <f>(D64-MIN($D$64:$D$65))*2625.5</f>
        <v>0</v>
      </c>
      <c r="G64" s="6">
        <f>EXP(-F64*1000/(8.31*298.15))</f>
        <v>1</v>
      </c>
      <c r="H64" s="5">
        <f>D64*E64</f>
        <v>-360.17144237437924</v>
      </c>
      <c r="I64" s="7"/>
    </row>
    <row r="65" spans="1:9">
      <c r="A65" s="4"/>
      <c r="B65" s="4" t="s">
        <v>213</v>
      </c>
      <c r="C65" s="5">
        <v>-537.46447699999999</v>
      </c>
      <c r="D65" s="5">
        <v>-537.24910299999999</v>
      </c>
      <c r="E65" s="6">
        <f>G65/SUM($G$64:$G$65)</f>
        <v>0.32960149919992754</v>
      </c>
      <c r="F65" s="6">
        <f>(D65-MIN($D$64:$D$65))*2625.5</f>
        <v>1.7590850000360092</v>
      </c>
      <c r="G65" s="6">
        <f>EXP(-F65*1000/(8.31*298.15))</f>
        <v>0.49165011378541545</v>
      </c>
      <c r="H65" s="5">
        <f>D65*E65</f>
        <v>-177.07810979261629</v>
      </c>
      <c r="I65" s="7"/>
    </row>
    <row r="66" spans="1:9">
      <c r="A66" s="4"/>
      <c r="C66" s="5" t="s">
        <v>219</v>
      </c>
      <c r="D66" s="5">
        <f>SUMPRODUCT($D$64:$D$65,$E$64:$E$65)</f>
        <v>-537.2495521669955</v>
      </c>
      <c r="E66" s="6">
        <f>SUM($E$64:$E$65)</f>
        <v>1</v>
      </c>
      <c r="F66" s="6"/>
      <c r="G66" s="6"/>
      <c r="H66" s="5"/>
      <c r="I66" s="7"/>
    </row>
    <row r="67" spans="1:9">
      <c r="A67" s="4"/>
      <c r="B67" s="4"/>
      <c r="C67" s="5"/>
      <c r="D67" s="5"/>
      <c r="E67" s="6"/>
      <c r="F67" s="6"/>
      <c r="G67" s="6"/>
      <c r="H67" s="5"/>
      <c r="I67" s="7"/>
    </row>
    <row r="68" spans="1:9">
      <c r="A68" s="4" t="s">
        <v>217</v>
      </c>
      <c r="B68" s="4" t="s">
        <v>215</v>
      </c>
      <c r="C68" s="5">
        <v>-1104.27421</v>
      </c>
      <c r="D68" s="5">
        <v>-1104.0650189999999</v>
      </c>
      <c r="E68" s="6">
        <f>G68/SUM($G$68:$G$69)</f>
        <v>0.62075471684473837</v>
      </c>
      <c r="F68" s="6">
        <f>(D68-MIN($D$68:$D$69))*2625.5</f>
        <v>0</v>
      </c>
      <c r="G68" s="6">
        <f>EXP(-F68*1000/(8.31*298.15))</f>
        <v>1</v>
      </c>
      <c r="H68" s="5">
        <f>D68*E68</f>
        <v>-685.35356824752557</v>
      </c>
      <c r="I68" s="7"/>
    </row>
    <row r="69" spans="1:9">
      <c r="A69" s="4"/>
      <c r="B69" s="4" t="s">
        <v>216</v>
      </c>
      <c r="C69" s="5">
        <v>-1104.2733470000001</v>
      </c>
      <c r="D69" s="5">
        <v>-1104.064554</v>
      </c>
      <c r="E69" s="6">
        <f>G69/SUM($G$68:$G$69)</f>
        <v>0.37924528315526168</v>
      </c>
      <c r="F69" s="6">
        <f>(D69-MIN($D$68:$D$69))*2625.5</f>
        <v>1.2208574996039943</v>
      </c>
      <c r="G69" s="6">
        <f>EXP(-F69*1000/(8.31*298.15))</f>
        <v>0.61094224959408172</v>
      </c>
      <c r="H69" s="5">
        <f>D69*E69</f>
        <v>-418.71127440341769</v>
      </c>
      <c r="I69" s="7"/>
    </row>
    <row r="70" spans="1:9">
      <c r="A70" s="4"/>
      <c r="C70" s="5" t="s">
        <v>219</v>
      </c>
      <c r="D70" s="5">
        <f>SUMPRODUCT($D$68:$D$69,$E$68:$E$69)</f>
        <v>-1104.0648426509433</v>
      </c>
      <c r="E70" s="6">
        <f>SUM($E$68:$E$69)</f>
        <v>1</v>
      </c>
      <c r="F70" s="6"/>
      <c r="G70" s="6"/>
      <c r="H70" s="5"/>
      <c r="I70" s="7">
        <f>2625.5*((D66+$D$6)-(D70+$D$3))</f>
        <v>7.6493521050806521</v>
      </c>
    </row>
    <row r="71" spans="1:9">
      <c r="A71" s="4"/>
      <c r="B71" s="4"/>
      <c r="C71" s="5"/>
      <c r="D71" s="5"/>
      <c r="E71" s="6"/>
      <c r="F71" s="6"/>
      <c r="G71" s="6"/>
      <c r="H71" s="5"/>
      <c r="I71" s="7"/>
    </row>
    <row r="72" spans="1:9">
      <c r="A72" s="4" t="s">
        <v>18</v>
      </c>
      <c r="B72" s="4" t="s">
        <v>17</v>
      </c>
      <c r="C72" s="5">
        <v>-511.91985799999998</v>
      </c>
      <c r="D72" s="5">
        <v>-511.84350899999998</v>
      </c>
      <c r="E72" s="6">
        <f>G72/SUM($G$72:$G$72)</f>
        <v>1</v>
      </c>
      <c r="F72" s="6">
        <f>(D72-MIN($D$72:$D$72))*2625.5</f>
        <v>0</v>
      </c>
      <c r="G72" s="6">
        <f>EXP(-F72*1000/(8.31*298.15))</f>
        <v>1</v>
      </c>
      <c r="H72" s="5">
        <f>D72*E72</f>
        <v>-511.84350899999998</v>
      </c>
      <c r="I72" s="7"/>
    </row>
    <row r="73" spans="1:9">
      <c r="A73" s="4"/>
      <c r="C73" s="5" t="s">
        <v>219</v>
      </c>
      <c r="D73" s="5">
        <f>SUMPRODUCT($D$72:$D$72,$E$72:$E$72)</f>
        <v>-511.84350899999998</v>
      </c>
      <c r="E73" s="6">
        <f>SUM($E$72:$E$72)</f>
        <v>1</v>
      </c>
      <c r="F73" s="6"/>
      <c r="G73" s="6"/>
      <c r="H73" s="5"/>
      <c r="I73" s="7"/>
    </row>
    <row r="74" spans="1:9">
      <c r="A74" s="4"/>
      <c r="B74" s="4"/>
      <c r="C74" s="5"/>
      <c r="D74" s="5"/>
      <c r="E74" s="6"/>
      <c r="F74" s="6"/>
      <c r="G74" s="6"/>
      <c r="H74" s="5"/>
      <c r="I74" s="7"/>
    </row>
    <row r="75" spans="1:9">
      <c r="A75" s="4" t="s">
        <v>21</v>
      </c>
      <c r="B75" s="4" t="s">
        <v>19</v>
      </c>
      <c r="C75" s="5">
        <v>-1078.730679</v>
      </c>
      <c r="D75" s="5">
        <v>-1078.661398</v>
      </c>
      <c r="E75" s="6">
        <f>G75/SUM($G$75:$G$76)</f>
        <v>0.99297967821859756</v>
      </c>
      <c r="F75" s="6">
        <f>(D75-MIN($D$75:$D$76))*2625.5</f>
        <v>0</v>
      </c>
      <c r="G75" s="6">
        <f>EXP(-F75*1000/(8.31*298.15))</f>
        <v>1</v>
      </c>
      <c r="H75" s="5">
        <f>D75*E75</f>
        <v>-1071.0888478928625</v>
      </c>
      <c r="I75" s="7"/>
    </row>
    <row r="76" spans="1:9">
      <c r="A76" s="4"/>
      <c r="B76" s="4" t="s">
        <v>20</v>
      </c>
      <c r="C76" s="5">
        <v>-1078.7271330000001</v>
      </c>
      <c r="D76" s="5">
        <v>-1078.6567250000001</v>
      </c>
      <c r="E76" s="6">
        <f>G76/SUM($G$75:$G$76)</f>
        <v>7.0203217814025247E-3</v>
      </c>
      <c r="F76" s="6">
        <f>(D76-MIN($D$75:$D$76))*2625.5</f>
        <v>12.268961499767784</v>
      </c>
      <c r="G76" s="6">
        <f>EXP(-F76*1000/(8.31*298.15))</f>
        <v>7.0699551414757653E-3</v>
      </c>
      <c r="H76" s="5">
        <f>D76*E76</f>
        <v>-7.5725173011738134</v>
      </c>
      <c r="I76" s="7"/>
    </row>
    <row r="77" spans="1:9">
      <c r="A77" s="4"/>
      <c r="C77" s="5" t="s">
        <v>219</v>
      </c>
      <c r="D77" s="5">
        <f>SUMPRODUCT($D$75:$D$76,$E$75:$E$76)</f>
        <v>-1078.6613651940363</v>
      </c>
      <c r="E77" s="6">
        <f>SUM($E$75:$E$76)</f>
        <v>1</v>
      </c>
      <c r="F77" s="6"/>
      <c r="G77" s="6"/>
      <c r="H77" s="5"/>
      <c r="I77" s="7">
        <f>2625.5*((D73+$D$6)-(D77+$D$3))</f>
        <v>14.385623942896018</v>
      </c>
    </row>
    <row r="78" spans="1:9">
      <c r="A78" s="4"/>
      <c r="B78" s="4"/>
      <c r="C78" s="5"/>
      <c r="D78" s="5"/>
      <c r="E78" s="6"/>
      <c r="F78" s="6"/>
      <c r="G78" s="6"/>
      <c r="H78" s="5"/>
      <c r="I78" s="7"/>
    </row>
    <row r="79" spans="1:9">
      <c r="A79" s="4" t="s">
        <v>24</v>
      </c>
      <c r="B79" s="4" t="s">
        <v>22</v>
      </c>
      <c r="C79" s="5">
        <v>-511.91620999999998</v>
      </c>
      <c r="D79" s="5">
        <v>-511.83983000000001</v>
      </c>
      <c r="E79" s="6">
        <f>G79/SUM($G$79:$G$80)</f>
        <v>0.99862371861159971</v>
      </c>
      <c r="F79" s="6">
        <f>(D79-MIN($D$79:$D$80))*2625.5</f>
        <v>0</v>
      </c>
      <c r="G79" s="6">
        <f>EXP(-F79*1000/(8.31*298.15))</f>
        <v>1</v>
      </c>
      <c r="H79" s="5">
        <f>D79*E79</f>
        <v>-511.13539436812903</v>
      </c>
      <c r="I79" s="7"/>
    </row>
    <row r="80" spans="1:9">
      <c r="A80" s="4"/>
      <c r="B80" s="4" t="s">
        <v>23</v>
      </c>
      <c r="C80" s="5">
        <v>-511.90981299999999</v>
      </c>
      <c r="D80" s="5">
        <v>-511.83361400000001</v>
      </c>
      <c r="E80" s="6">
        <f>G80/SUM($G$79:$G$80)</f>
        <v>1.3762813884004388E-3</v>
      </c>
      <c r="F80" s="6">
        <f>(D80-MIN($D$79:$D$80))*2625.5</f>
        <v>16.32010799998659</v>
      </c>
      <c r="G80" s="6">
        <f>EXP(-F80*1000/(8.31*298.15))</f>
        <v>1.3781781493372718E-3</v>
      </c>
      <c r="H80" s="5">
        <f>D80*E80</f>
        <v>-0.70442707690593431</v>
      </c>
      <c r="I80" s="7"/>
    </row>
    <row r="81" spans="1:9">
      <c r="A81" s="4"/>
      <c r="C81" s="5" t="s">
        <v>219</v>
      </c>
      <c r="D81" s="5">
        <f>SUMPRODUCT($D$79:$D$80,$E$79:$E$80)</f>
        <v>-511.83982144503494</v>
      </c>
      <c r="E81" s="6">
        <f>SUM($E$79:$E$80)</f>
        <v>1.0000000000000002</v>
      </c>
      <c r="F81" s="6"/>
      <c r="G81" s="6"/>
      <c r="H81" s="5"/>
      <c r="I81" s="7"/>
    </row>
    <row r="82" spans="1:9">
      <c r="A82" s="4"/>
      <c r="B82" s="4"/>
      <c r="C82" s="5"/>
      <c r="D82" s="5"/>
      <c r="E82" s="6"/>
      <c r="F82" s="6"/>
      <c r="G82" s="6"/>
      <c r="H82" s="5"/>
      <c r="I82" s="7"/>
    </row>
    <row r="83" spans="1:9">
      <c r="A83" s="4" t="s">
        <v>30</v>
      </c>
      <c r="B83" s="4" t="s">
        <v>25</v>
      </c>
      <c r="C83" s="5">
        <v>-1078.7205570000001</v>
      </c>
      <c r="D83" s="5">
        <v>-1078.6506440000001</v>
      </c>
      <c r="E83" s="6">
        <f>G83/SUM($G$83:$G$87)</f>
        <v>0.26177994799620047</v>
      </c>
      <c r="F83" s="6">
        <f>(D83-MIN($D$83:$D$87))*2625.5</f>
        <v>0</v>
      </c>
      <c r="G83" s="6">
        <f>EXP(-F83*1000/(8.31*298.15))</f>
        <v>1</v>
      </c>
      <c r="H83" s="5">
        <f>D83*E83</f>
        <v>-282.36910949238813</v>
      </c>
      <c r="I83" s="7"/>
    </row>
    <row r="84" spans="1:9">
      <c r="A84" s="4"/>
      <c r="B84" s="4" t="s">
        <v>26</v>
      </c>
      <c r="C84" s="5">
        <v>-1078.7205590000001</v>
      </c>
      <c r="D84" s="5">
        <v>-1078.6505749999999</v>
      </c>
      <c r="E84" s="6">
        <f>G84/SUM($G$83:$G$87)</f>
        <v>0.24332210336096613</v>
      </c>
      <c r="F84" s="6">
        <f>(D84-MIN($D$83:$D$87))*2625.5</f>
        <v>0.18115950043807061</v>
      </c>
      <c r="G84" s="6">
        <f>EXP(-F84*1000/(8.31*298.15))</f>
        <v>0.9294909912828685</v>
      </c>
      <c r="H84" s="5">
        <f>D84*E84</f>
        <v>-262.45952670051554</v>
      </c>
      <c r="I84" s="7"/>
    </row>
    <row r="85" spans="1:9">
      <c r="A85" s="4"/>
      <c r="B85" s="4" t="s">
        <v>27</v>
      </c>
      <c r="C85" s="5">
        <v>-1078.7206739999999</v>
      </c>
      <c r="D85" s="5">
        <v>-1078.6504849999999</v>
      </c>
      <c r="E85" s="6">
        <f>G85/SUM($G$83:$G$87)</f>
        <v>0.22118834446677571</v>
      </c>
      <c r="F85" s="6">
        <f>(D85-MIN($D$83:$D$87))*2625.5</f>
        <v>0.41745450043845267</v>
      </c>
      <c r="G85" s="6">
        <f>EXP(-F85*1000/(8.31*298.15))</f>
        <v>0.84493998169021745</v>
      </c>
      <c r="H85" s="5">
        <f>D85*E85</f>
        <v>-238.58491503543468</v>
      </c>
      <c r="I85" s="7"/>
    </row>
    <row r="86" spans="1:9">
      <c r="A86" s="4"/>
      <c r="B86" s="4" t="s">
        <v>28</v>
      </c>
      <c r="C86" s="5">
        <v>-1078.7206839999999</v>
      </c>
      <c r="D86" s="5">
        <v>-1078.650455</v>
      </c>
      <c r="E86" s="6">
        <f>G86/SUM($G$83:$G$87)</f>
        <v>0.21426725052418222</v>
      </c>
      <c r="F86" s="6">
        <f>(D86-MIN($D$83:$D$87))*2625.5</f>
        <v>0.49621950023959016</v>
      </c>
      <c r="G86" s="6">
        <f>EXP(-F86*1000/(8.31*298.15))</f>
        <v>0.81850138700192632</v>
      </c>
      <c r="H86" s="5">
        <f>D86*E86</f>
        <v>-231.11946726950814</v>
      </c>
      <c r="I86" s="7"/>
    </row>
    <row r="87" spans="1:9">
      <c r="A87" s="4"/>
      <c r="B87" s="4" t="s">
        <v>29</v>
      </c>
      <c r="C87" s="5">
        <v>-1078.720245</v>
      </c>
      <c r="D87" s="5">
        <v>-1078.6492450000001</v>
      </c>
      <c r="E87" s="6">
        <f>G87/SUM($G$83:$G$87)</f>
        <v>5.9442353651875487E-2</v>
      </c>
      <c r="F87" s="6">
        <f>(D87-MIN($D$83:$D$87))*2625.5</f>
        <v>3.6730744999794069</v>
      </c>
      <c r="G87" s="6">
        <f>EXP(-F87*1000/(8.31*298.15))</f>
        <v>0.22706992688660113</v>
      </c>
      <c r="H87" s="5">
        <f>D87*E87</f>
        <v>-64.117449887618491</v>
      </c>
      <c r="I87" s="7"/>
    </row>
    <row r="88" spans="1:9">
      <c r="A88" s="4"/>
      <c r="C88" s="5" t="s">
        <v>219</v>
      </c>
      <c r="D88" s="5">
        <f>SUMPRODUCT($D$83:$D$87,$E$83:$E$87)</f>
        <v>-1078.650468385465</v>
      </c>
      <c r="E88" s="6">
        <f>SUM($E$83:$E$87)</f>
        <v>0.99999999999999989</v>
      </c>
      <c r="F88" s="6"/>
      <c r="G88" s="6"/>
      <c r="H88" s="5"/>
      <c r="I88" s="7">
        <f>2625.5*((D81+$D$6)-(D88+$D$3))</f>
        <v>-4.5422714005331954</v>
      </c>
    </row>
    <row r="89" spans="1:9">
      <c r="A89" s="4"/>
      <c r="B89" s="4"/>
      <c r="C89" s="5"/>
      <c r="D89" s="5"/>
      <c r="E89" s="6"/>
      <c r="F89" s="6"/>
      <c r="G89" s="6"/>
      <c r="H89" s="5"/>
      <c r="I89" s="7"/>
    </row>
    <row r="90" spans="1:9">
      <c r="A90" s="4" t="s">
        <v>32</v>
      </c>
      <c r="B90" s="4" t="s">
        <v>31</v>
      </c>
      <c r="C90" s="5">
        <v>-716.40767400000004</v>
      </c>
      <c r="D90" s="5">
        <v>-716.33390299999996</v>
      </c>
      <c r="E90" s="6">
        <f>G90/SUM($G$90:$G$90)</f>
        <v>1</v>
      </c>
      <c r="F90" s="6">
        <f>(D90-MIN($D$90:$D$90))*2625.5</f>
        <v>0</v>
      </c>
      <c r="G90" s="6">
        <f>EXP(-F90*1000/(8.31*298.15))</f>
        <v>1</v>
      </c>
      <c r="H90" s="5">
        <f>D90*E90</f>
        <v>-716.33390299999996</v>
      </c>
      <c r="I90" s="7"/>
    </row>
    <row r="91" spans="1:9">
      <c r="A91" s="4"/>
      <c r="C91" s="5" t="s">
        <v>219</v>
      </c>
      <c r="D91" s="5">
        <f>SUMPRODUCT($D$90:$D$90,$E$90:$E$90)</f>
        <v>-716.33390299999996</v>
      </c>
      <c r="E91" s="6">
        <f>SUM($E$90:$E$90)</f>
        <v>1</v>
      </c>
      <c r="F91" s="6"/>
      <c r="G91" s="6"/>
      <c r="H91" s="5"/>
      <c r="I91" s="7"/>
    </row>
    <row r="92" spans="1:9">
      <c r="A92" s="4"/>
      <c r="B92" s="4"/>
      <c r="C92" s="5"/>
      <c r="D92" s="5"/>
      <c r="E92" s="6"/>
      <c r="F92" s="6"/>
      <c r="G92" s="6"/>
      <c r="H92" s="5"/>
      <c r="I92" s="7"/>
    </row>
    <row r="93" spans="1:9">
      <c r="A93" s="4" t="s">
        <v>35</v>
      </c>
      <c r="B93" s="4" t="s">
        <v>33</v>
      </c>
      <c r="C93" s="5">
        <v>-1283.220409</v>
      </c>
      <c r="D93" s="5">
        <v>-1283.1519559999999</v>
      </c>
      <c r="E93" s="6">
        <f>G93/SUM($G$93:$G$94)</f>
        <v>0.5050333267012832</v>
      </c>
      <c r="F93" s="6">
        <f>(D93-MIN($D$93:$D$94))*2625.5</f>
        <v>0</v>
      </c>
      <c r="G93" s="6">
        <f>EXP(-F93*1000/(8.31*298.15))</f>
        <v>1</v>
      </c>
      <c r="H93" s="5">
        <f>D93*E93</f>
        <v>-648.03450100193857</v>
      </c>
      <c r="I93" s="7"/>
    </row>
    <row r="94" spans="1:9">
      <c r="A94" s="4"/>
      <c r="B94" s="4" t="s">
        <v>34</v>
      </c>
      <c r="C94" s="5">
        <v>-1283.2204099999999</v>
      </c>
      <c r="D94" s="5">
        <v>-1283.1519370000001</v>
      </c>
      <c r="E94" s="6">
        <f>G94/SUM($G$93:$G$94)</f>
        <v>0.49496667329871685</v>
      </c>
      <c r="F94" s="6">
        <f>(D94-MIN($D$93:$D$94))*2625.5</f>
        <v>4.9884499575568952E-2</v>
      </c>
      <c r="G94" s="6">
        <f>EXP(-F94*1000/(8.31*298.15))</f>
        <v>0.98006734829101572</v>
      </c>
      <c r="H94" s="5">
        <f>D94*E94</f>
        <v>-635.1174455936947</v>
      </c>
      <c r="I94" s="7"/>
    </row>
    <row r="95" spans="1:9">
      <c r="A95" s="4"/>
      <c r="C95" s="5" t="s">
        <v>219</v>
      </c>
      <c r="D95" s="5">
        <f>SUMPRODUCT($D$93:$D$94,$E$93:$E$94)</f>
        <v>-1283.1519465956333</v>
      </c>
      <c r="E95" s="6">
        <f>SUM($E$93:$E$94)</f>
        <v>1</v>
      </c>
      <c r="F95" s="6"/>
      <c r="G95" s="6"/>
      <c r="H95" s="5"/>
      <c r="I95" s="7">
        <f>2625.5*((D91+$D$6)-(D95+$D$3))</f>
        <v>14.877646835305427</v>
      </c>
    </row>
    <row r="96" spans="1:9">
      <c r="A96" s="4"/>
      <c r="B96" s="4"/>
      <c r="C96" s="5"/>
      <c r="D96" s="5"/>
      <c r="E96" s="6"/>
      <c r="F96" s="6"/>
      <c r="G96" s="6"/>
      <c r="H96" s="5"/>
      <c r="I96" s="7"/>
    </row>
    <row r="97" spans="1:9">
      <c r="A97" s="4" t="s">
        <v>37</v>
      </c>
      <c r="B97" s="4" t="s">
        <v>36</v>
      </c>
      <c r="C97" s="5">
        <v>-1686.1516220000001</v>
      </c>
      <c r="D97" s="5">
        <v>-1686.1096090000001</v>
      </c>
      <c r="E97" s="6">
        <f>G97/SUM($G$97:$G$97)</f>
        <v>1</v>
      </c>
      <c r="F97" s="6">
        <f>(D97-MIN($D$97:$D$97))*2625.5</f>
        <v>0</v>
      </c>
      <c r="G97" s="6">
        <f>EXP(-F97*1000/(8.31*298.15))</f>
        <v>1</v>
      </c>
      <c r="H97" s="5">
        <f>D97*E97</f>
        <v>-1686.1096090000001</v>
      </c>
      <c r="I97" s="7"/>
    </row>
    <row r="98" spans="1:9">
      <c r="A98" s="4"/>
      <c r="C98" s="5" t="s">
        <v>219</v>
      </c>
      <c r="D98" s="5">
        <f>SUMPRODUCT($D$97:$D$97,$E$97:$E$97)</f>
        <v>-1686.1096090000001</v>
      </c>
      <c r="E98" s="6">
        <f>SUM($E$97:$E$97)</f>
        <v>1</v>
      </c>
      <c r="F98" s="6"/>
      <c r="G98" s="6"/>
      <c r="H98" s="5"/>
      <c r="I98" s="7"/>
    </row>
    <row r="99" spans="1:9">
      <c r="A99" s="4"/>
      <c r="B99" s="4"/>
      <c r="C99" s="5"/>
      <c r="D99" s="5"/>
      <c r="E99" s="6"/>
      <c r="F99" s="6"/>
      <c r="G99" s="6"/>
      <c r="H99" s="5"/>
      <c r="I99" s="7"/>
    </row>
    <row r="100" spans="1:9">
      <c r="A100" s="4" t="s">
        <v>39</v>
      </c>
      <c r="B100" s="4" t="s">
        <v>38</v>
      </c>
      <c r="C100" s="5">
        <v>-2252.9613549999999</v>
      </c>
      <c r="D100" s="5">
        <v>-2252.9223179999999</v>
      </c>
      <c r="E100" s="6">
        <f>G100/SUM($G$100:$G$100)</f>
        <v>1</v>
      </c>
      <c r="F100" s="6">
        <f>(D100-MIN($D$100:$D$100))*2625.5</f>
        <v>0</v>
      </c>
      <c r="G100" s="6">
        <f>EXP(-F100*1000/(8.31*298.15))</f>
        <v>1</v>
      </c>
      <c r="H100" s="5">
        <f>D100*E100</f>
        <v>-2252.9223179999999</v>
      </c>
      <c r="I100" s="7"/>
    </row>
    <row r="101" spans="1:9">
      <c r="A101" s="4"/>
      <c r="C101" s="5" t="s">
        <v>219</v>
      </c>
      <c r="D101" s="5">
        <f>SUMPRODUCT($D$100:$D$100,$E$100:$E$100)</f>
        <v>-2252.9223179999999</v>
      </c>
      <c r="E101" s="6">
        <f>SUM($E$100:$E$100)</f>
        <v>1</v>
      </c>
      <c r="F101" s="6"/>
      <c r="G101" s="6"/>
      <c r="H101" s="5"/>
      <c r="I101" s="7">
        <f>2625.5*((D98+$D$6)-(D101+$D$3))</f>
        <v>0.87166600018713325</v>
      </c>
    </row>
    <row r="102" spans="1:9">
      <c r="A102" s="4"/>
      <c r="B102" s="4"/>
      <c r="C102" s="5"/>
      <c r="D102" s="5"/>
      <c r="E102" s="6"/>
      <c r="F102" s="6"/>
      <c r="G102" s="6"/>
      <c r="H102" s="5"/>
      <c r="I102" s="7"/>
    </row>
    <row r="103" spans="1:9">
      <c r="A103" s="4" t="s">
        <v>42</v>
      </c>
      <c r="B103" s="4" t="s">
        <v>40</v>
      </c>
      <c r="C103" s="5">
        <v>-971.49626899999998</v>
      </c>
      <c r="D103" s="5">
        <v>-971.432277</v>
      </c>
      <c r="E103" s="6">
        <f>G103/SUM($G$103:$G$104)</f>
        <v>0.72777961877210529</v>
      </c>
      <c r="F103" s="6">
        <f>(D103-MIN($D$103:$D$104))*2625.5</f>
        <v>0</v>
      </c>
      <c r="G103" s="6">
        <f>EXP(-F103*1000/(8.31*298.15))</f>
        <v>1</v>
      </c>
      <c r="H103" s="5">
        <f>D103*E103</f>
        <v>-706.98861221797813</v>
      </c>
      <c r="I103" s="7"/>
    </row>
    <row r="104" spans="1:9">
      <c r="A104" s="4"/>
      <c r="B104" s="4" t="s">
        <v>41</v>
      </c>
      <c r="C104" s="5">
        <v>-971.49534200000005</v>
      </c>
      <c r="D104" s="5">
        <v>-971.43134899999995</v>
      </c>
      <c r="E104" s="6">
        <f>G104/SUM($G$103:$G$104)</f>
        <v>0.27222038122789471</v>
      </c>
      <c r="F104" s="6">
        <f>(D104-MIN($D$103:$D$104))*2625.5</f>
        <v>2.4364640001167004</v>
      </c>
      <c r="G104" s="6">
        <f>EXP(-F104*1000/(8.31*298.15))</f>
        <v>0.37404232573478668</v>
      </c>
      <c r="H104" s="5">
        <f>D104*E104</f>
        <v>-264.44341216150804</v>
      </c>
      <c r="I104" s="7"/>
    </row>
    <row r="105" spans="1:9">
      <c r="A105" s="4"/>
      <c r="C105" s="5" t="s">
        <v>219</v>
      </c>
      <c r="D105" s="5">
        <f>SUMPRODUCT($D$103:$D$104,$E$103:$E$104)</f>
        <v>-971.43202437948617</v>
      </c>
      <c r="E105" s="6">
        <f>SUM($E$103:$E$104)</f>
        <v>1</v>
      </c>
      <c r="F105" s="6"/>
      <c r="G105" s="6"/>
      <c r="H105" s="5"/>
      <c r="I105" s="7"/>
    </row>
    <row r="106" spans="1:9">
      <c r="A106" s="4"/>
      <c r="B106" s="4"/>
      <c r="C106" s="5"/>
      <c r="D106" s="5"/>
      <c r="E106" s="6"/>
      <c r="F106" s="6"/>
      <c r="G106" s="6"/>
      <c r="H106" s="5"/>
      <c r="I106" s="7"/>
    </row>
    <row r="107" spans="1:9">
      <c r="A107" s="4" t="s">
        <v>44</v>
      </c>
      <c r="B107" s="4" t="s">
        <v>43</v>
      </c>
      <c r="C107" s="5">
        <v>-1538.30916</v>
      </c>
      <c r="D107" s="5">
        <v>-1538.251544</v>
      </c>
      <c r="E107" s="6">
        <f>G107/SUM($G$107:$G$107)</f>
        <v>1</v>
      </c>
      <c r="F107" s="6">
        <f>(D107-MIN($D$107:$D$107))*2625.5</f>
        <v>0</v>
      </c>
      <c r="G107" s="6">
        <f>EXP(-F107*1000/(8.31*298.15))</f>
        <v>1</v>
      </c>
      <c r="H107" s="5">
        <f>D107*E107</f>
        <v>-1538.251544</v>
      </c>
      <c r="I107" s="7"/>
    </row>
    <row r="108" spans="1:9">
      <c r="A108" s="4"/>
      <c r="C108" s="5" t="s">
        <v>219</v>
      </c>
      <c r="D108" s="5">
        <f>SUMPRODUCT($D$107:$D$107,$E$107:$E$107)</f>
        <v>-1538.251544</v>
      </c>
      <c r="E108" s="6">
        <f>SUM($E$107:$E$107)</f>
        <v>1</v>
      </c>
      <c r="F108" s="6"/>
      <c r="G108" s="6"/>
      <c r="H108" s="5"/>
      <c r="I108" s="7">
        <f>2625.5*((D105+$D$6)-(D108+$D$3))</f>
        <v>18.7529501590667</v>
      </c>
    </row>
    <row r="109" spans="1:9">
      <c r="A109" s="4"/>
      <c r="B109" s="4"/>
      <c r="C109" s="5"/>
      <c r="D109" s="5"/>
      <c r="E109" s="6"/>
      <c r="F109" s="6"/>
      <c r="G109" s="6"/>
      <c r="H109" s="5"/>
      <c r="I109" s="7"/>
    </row>
    <row r="110" spans="1:9">
      <c r="A110" s="4" t="s">
        <v>46</v>
      </c>
      <c r="B110" s="4" t="s">
        <v>45</v>
      </c>
      <c r="C110" s="5">
        <v>-971.49470399999996</v>
      </c>
      <c r="D110" s="5">
        <v>-971.43016399999999</v>
      </c>
      <c r="E110" s="6">
        <f>G110/SUM($G$110:$G$110)</f>
        <v>1</v>
      </c>
      <c r="F110" s="6">
        <f>(D110-MIN($D$110:$D$110))*2625.5</f>
        <v>0</v>
      </c>
      <c r="G110" s="6">
        <f>EXP(-F110*1000/(8.31*298.15))</f>
        <v>1</v>
      </c>
      <c r="H110" s="5">
        <f>D110*E110</f>
        <v>-971.43016399999999</v>
      </c>
      <c r="I110" s="7"/>
    </row>
    <row r="111" spans="1:9">
      <c r="A111" s="4"/>
      <c r="C111" s="5" t="s">
        <v>219</v>
      </c>
      <c r="D111" s="5">
        <f>SUMPRODUCT($D$110:$D$110,$E$110:$E$110)</f>
        <v>-971.43016399999999</v>
      </c>
      <c r="E111" s="6">
        <f>SUM($E$110:$E$110)</f>
        <v>1</v>
      </c>
      <c r="F111" s="6"/>
      <c r="G111" s="6"/>
      <c r="H111" s="5"/>
      <c r="I111" s="7"/>
    </row>
    <row r="112" spans="1:9">
      <c r="A112" s="4"/>
      <c r="B112" s="4"/>
      <c r="C112" s="5"/>
      <c r="D112" s="5"/>
      <c r="E112" s="6"/>
      <c r="F112" s="6"/>
      <c r="G112" s="6"/>
      <c r="H112" s="5"/>
      <c r="I112" s="7"/>
    </row>
    <row r="113" spans="1:9">
      <c r="A113" s="4" t="s">
        <v>50</v>
      </c>
      <c r="B113" s="4" t="s">
        <v>47</v>
      </c>
      <c r="C113" s="5">
        <v>-1538.3004309999999</v>
      </c>
      <c r="D113" s="5">
        <v>-1538.242692</v>
      </c>
      <c r="E113" s="6">
        <f>G113/SUM($G$113:$G$115)</f>
        <v>0.41157112678068614</v>
      </c>
      <c r="F113" s="6">
        <f>(D113-MIN($D$113:$D$115))*2625.5</f>
        <v>0</v>
      </c>
      <c r="G113" s="6">
        <f>EXP(-F113*1000/(8.31*298.15))</f>
        <v>1</v>
      </c>
      <c r="H113" s="5">
        <f>D113*E113</f>
        <v>-633.09627800859596</v>
      </c>
      <c r="I113" s="7"/>
    </row>
    <row r="114" spans="1:9">
      <c r="A114" s="4"/>
      <c r="B114" s="4" t="s">
        <v>48</v>
      </c>
      <c r="C114" s="5">
        <v>-1538.30043</v>
      </c>
      <c r="D114" s="5">
        <v>-1538.2426149999999</v>
      </c>
      <c r="E114" s="6">
        <f>G114/SUM($G$113:$G$115)</f>
        <v>0.37932229286163027</v>
      </c>
      <c r="F114" s="6">
        <f>(D114-MIN($D$113:$D$115))*2625.5</f>
        <v>0.20216350038504061</v>
      </c>
      <c r="G114" s="6">
        <f>EXP(-F114*1000/(8.31*298.15))</f>
        <v>0.92164456683026685</v>
      </c>
      <c r="H114" s="5">
        <f>D114*E114</f>
        <v>-583.48971569926994</v>
      </c>
      <c r="I114" s="7"/>
    </row>
    <row r="115" spans="1:9">
      <c r="A115" s="4"/>
      <c r="B115" s="4" t="s">
        <v>49</v>
      </c>
      <c r="C115" s="5">
        <v>-1538.300414</v>
      </c>
      <c r="D115" s="5">
        <v>-1538.2420529999999</v>
      </c>
      <c r="E115" s="6">
        <f>G115/SUM($G$113:$G$115)</f>
        <v>0.20910658035768362</v>
      </c>
      <c r="F115" s="6">
        <f>(D115-MIN($D$113:$D$115))*2625.5</f>
        <v>1.6776945002415005</v>
      </c>
      <c r="G115" s="6">
        <f>EXP(-F115*1000/(8.31*298.15))</f>
        <v>0.50806912038100827</v>
      </c>
      <c r="H115" s="5">
        <f>D115*E115</f>
        <v>-321.6565354652127</v>
      </c>
      <c r="I115" s="7"/>
    </row>
    <row r="116" spans="1:9">
      <c r="A116" s="4"/>
      <c r="B116" s="4"/>
      <c r="C116" s="5" t="s">
        <v>219</v>
      </c>
      <c r="D116" s="5">
        <f>SUMPRODUCT($D$113:$D$115,$E$113:$E$115)</f>
        <v>-1538.2425291730785</v>
      </c>
      <c r="E116" s="6">
        <f>SUM($E$113:$E$115)</f>
        <v>1</v>
      </c>
      <c r="F116" s="6"/>
      <c r="G116" s="6"/>
      <c r="H116" s="5"/>
      <c r="I116" s="7">
        <f>2625.5*((D111+$D$6)-(D116+$D$3))</f>
        <v>-3.105158189669055E-2</v>
      </c>
    </row>
    <row r="117" spans="1:9">
      <c r="A117" s="4"/>
      <c r="B117" s="4"/>
      <c r="C117" s="5"/>
      <c r="D117" s="5"/>
      <c r="E117" s="6"/>
      <c r="F117" s="6"/>
      <c r="G117" s="6"/>
      <c r="H117" s="5"/>
      <c r="I117" s="7"/>
    </row>
    <row r="118" spans="1:9">
      <c r="A118" s="4" t="s">
        <v>53</v>
      </c>
      <c r="B118" s="4" t="s">
        <v>51</v>
      </c>
      <c r="C118" s="5">
        <v>-664.54566599999998</v>
      </c>
      <c r="D118" s="5">
        <v>-664.43789500000003</v>
      </c>
      <c r="E118" s="6">
        <f>G118/SUM($G$118:$G$119)</f>
        <v>0.60694061564019341</v>
      </c>
      <c r="F118" s="6">
        <f>(D118-MIN($D$118:$D$119))*2625.5</f>
        <v>0</v>
      </c>
      <c r="G118" s="6">
        <f>EXP(-F118*1000/(8.31*298.15))</f>
        <v>1</v>
      </c>
      <c r="H118" s="5">
        <f>D118*E118</f>
        <v>-403.2743450459742</v>
      </c>
      <c r="I118" s="7"/>
    </row>
    <row r="119" spans="1:9">
      <c r="A119" s="4"/>
      <c r="B119" s="4" t="s">
        <v>52</v>
      </c>
      <c r="C119" s="5">
        <v>-664.54522399999996</v>
      </c>
      <c r="D119" s="5">
        <v>-664.43748500000004</v>
      </c>
      <c r="E119" s="6">
        <f>G119/SUM($G$118:$G$119)</f>
        <v>0.39305938435980664</v>
      </c>
      <c r="F119" s="6">
        <f>(D119-MIN($D$118:$D$119))*2625.5</f>
        <v>1.0764549999685755</v>
      </c>
      <c r="G119" s="6">
        <f>EXP(-F119*1000/(8.31*298.15))</f>
        <v>0.64760764765299561</v>
      </c>
      <c r="H119" s="5">
        <f>D119*E119</f>
        <v>-261.16338879967827</v>
      </c>
      <c r="I119" s="7"/>
    </row>
    <row r="120" spans="1:9">
      <c r="A120" s="4"/>
      <c r="C120" s="5" t="s">
        <v>219</v>
      </c>
      <c r="D120" s="5">
        <f>SUMPRODUCT($D$118:$D$119,$E$118:$E$119)</f>
        <v>-664.43773384565247</v>
      </c>
      <c r="E120" s="6">
        <f>SUM($E$118:$E$119)</f>
        <v>1</v>
      </c>
      <c r="F120" s="6"/>
      <c r="G120" s="6"/>
      <c r="H120" s="5"/>
      <c r="I120" s="7"/>
    </row>
    <row r="121" spans="1:9">
      <c r="A121" s="4"/>
      <c r="B121" s="4"/>
      <c r="C121" s="5"/>
      <c r="D121" s="5"/>
      <c r="E121" s="6"/>
      <c r="F121" s="6"/>
      <c r="G121" s="6"/>
      <c r="H121" s="5"/>
      <c r="I121" s="7"/>
    </row>
    <row r="122" spans="1:9">
      <c r="A122" s="4" t="s">
        <v>58</v>
      </c>
      <c r="B122" s="4" t="s">
        <v>54</v>
      </c>
      <c r="C122" s="5">
        <v>-1231.351938</v>
      </c>
      <c r="D122" s="5">
        <v>-1231.250374</v>
      </c>
      <c r="E122" s="6">
        <f>G122/SUM($G$122:$G$125)</f>
        <v>0.4756137292845295</v>
      </c>
      <c r="F122" s="6">
        <f>(D122-MIN($D$122:$D$125))*2625.5</f>
        <v>0</v>
      </c>
      <c r="G122" s="6">
        <f>EXP(-F122*1000/(8.31*298.15))</f>
        <v>1</v>
      </c>
      <c r="H122" s="5">
        <f>D122*E122</f>
        <v>-585.59958206111173</v>
      </c>
      <c r="I122" s="7"/>
    </row>
    <row r="123" spans="1:9">
      <c r="A123" s="4"/>
      <c r="B123" s="4" t="s">
        <v>55</v>
      </c>
      <c r="C123" s="5">
        <v>-1231.352234</v>
      </c>
      <c r="D123" s="5">
        <v>-1231.2503489999999</v>
      </c>
      <c r="E123" s="6">
        <f>G123/SUM($G$122:$G$125)</f>
        <v>0.46317916438266343</v>
      </c>
      <c r="F123" s="6">
        <f>(D123-MIN($D$122:$D$125))*2625.5</f>
        <v>6.5637500132766036E-2</v>
      </c>
      <c r="G123" s="6">
        <f>EXP(-F123*1000/(8.31*298.15))</f>
        <v>0.9738557486122793</v>
      </c>
      <c r="H123" s="5">
        <f>D123*E123</f>
        <v>-570.28950779568265</v>
      </c>
      <c r="I123" s="7"/>
    </row>
    <row r="124" spans="1:9">
      <c r="A124" s="4"/>
      <c r="B124" s="4" t="s">
        <v>56</v>
      </c>
      <c r="C124" s="5">
        <v>-1231.3500919999999</v>
      </c>
      <c r="D124" s="5">
        <v>-1231.2480350000001</v>
      </c>
      <c r="E124" s="6">
        <f>G124/SUM($G$122:$G$125)</f>
        <v>3.9885236820468163E-2</v>
      </c>
      <c r="F124" s="6">
        <f>(D124-MIN($D$122:$D$125))*2625.5</f>
        <v>6.1410444997180775</v>
      </c>
      <c r="G124" s="6">
        <f>EXP(-F124*1000/(8.31*298.15))</f>
        <v>8.3860566599849681E-2</v>
      </c>
      <c r="H124" s="5">
        <f>D124*E124</f>
        <v>-49.108619460711076</v>
      </c>
      <c r="I124" s="7"/>
    </row>
    <row r="125" spans="1:9">
      <c r="A125" s="4"/>
      <c r="B125" s="4" t="s">
        <v>57</v>
      </c>
      <c r="C125" s="5">
        <v>-1231.349725</v>
      </c>
      <c r="D125" s="5">
        <v>-1231.2474440000001</v>
      </c>
      <c r="E125" s="6">
        <f>G125/SUM($G$122:$G$125)</f>
        <v>2.1321869512339008E-2</v>
      </c>
      <c r="F125" s="6">
        <f>(D125-MIN($D$122:$D$125))*2625.5</f>
        <v>7.6927149996807884</v>
      </c>
      <c r="G125" s="6">
        <f>EXP(-F125*1000/(8.31*298.15))</f>
        <v>4.483022292988411E-2</v>
      </c>
      <c r="H125" s="5">
        <f>D125*E125</f>
        <v>-26.252497338368933</v>
      </c>
      <c r="I125" s="7"/>
    </row>
    <row r="126" spans="1:9">
      <c r="A126" s="4"/>
      <c r="B126" s="4"/>
      <c r="C126" s="5" t="s">
        <v>219</v>
      </c>
      <c r="D126" s="5">
        <f>SUMPRODUCT($D$122:$D$125,$E$122:$E$125)</f>
        <v>-1231.2502066558743</v>
      </c>
      <c r="E126" s="6">
        <f>SUM($E$122:$E$125)</f>
        <v>1.0000000000000002</v>
      </c>
      <c r="F126" s="6"/>
      <c r="G126" s="6"/>
      <c r="H126" s="5"/>
      <c r="I126" s="7">
        <f>2625.5*((D120+$D$6)-(D126+$D$3))</f>
        <v>0.25154973810265346</v>
      </c>
    </row>
    <row r="127" spans="1:9">
      <c r="A127" s="4"/>
      <c r="B127" s="4"/>
      <c r="C127" s="5"/>
      <c r="D127" s="5"/>
      <c r="E127" s="6"/>
      <c r="F127" s="6"/>
      <c r="G127" s="6"/>
      <c r="H127" s="5"/>
      <c r="I127" s="7"/>
    </row>
    <row r="128" spans="1:9">
      <c r="A128" s="4" t="s">
        <v>61</v>
      </c>
      <c r="B128" s="4" t="s">
        <v>59</v>
      </c>
      <c r="C128" s="5">
        <v>-535.27239599999996</v>
      </c>
      <c r="D128" s="5">
        <v>-535.15860699999996</v>
      </c>
      <c r="E128" s="6">
        <f>G128/SUM($G$128:$G$129)</f>
        <v>0.50900633575365795</v>
      </c>
      <c r="F128" s="6">
        <f>(D128-MIN($D$128:$D$129))*2625.5</f>
        <v>0</v>
      </c>
      <c r="G128" s="6">
        <f>EXP(-F128*1000/(8.31*298.15))</f>
        <v>1</v>
      </c>
      <c r="H128" s="5">
        <f>D128*E128</f>
        <v>-272.39912159610185</v>
      </c>
      <c r="I128" s="7"/>
    </row>
    <row r="129" spans="1:9">
      <c r="A129" s="4"/>
      <c r="B129" s="4" t="s">
        <v>60</v>
      </c>
      <c r="C129" s="5">
        <v>-535.27234199999998</v>
      </c>
      <c r="D129" s="5">
        <v>-535.15857300000005</v>
      </c>
      <c r="E129" s="6">
        <f>G129/SUM($G$128:$G$129)</f>
        <v>0.49099366424634205</v>
      </c>
      <c r="F129" s="6">
        <f>(D129-MIN($D$128:$D$129))*2625.5</f>
        <v>8.9266999774622491E-2</v>
      </c>
      <c r="G129" s="6">
        <f>EXP(-F129*1000/(8.31*298.15))</f>
        <v>0.96461208782274688</v>
      </c>
      <c r="H129" s="5">
        <f>D129*E129</f>
        <v>-262.75946871011354</v>
      </c>
      <c r="I129" s="7"/>
    </row>
    <row r="130" spans="1:9">
      <c r="A130" s="4"/>
      <c r="C130" s="5" t="s">
        <v>219</v>
      </c>
      <c r="D130" s="5">
        <f>SUMPRODUCT($D$128:$D$129,$E$128:$E$129)</f>
        <v>-535.15859030621539</v>
      </c>
      <c r="E130" s="6">
        <f>SUM($E$128:$E$129)</f>
        <v>1</v>
      </c>
      <c r="F130" s="6"/>
      <c r="G130" s="6"/>
      <c r="H130" s="5"/>
      <c r="I130" s="7"/>
    </row>
    <row r="131" spans="1:9">
      <c r="A131" s="4"/>
      <c r="B131" s="4"/>
      <c r="C131" s="5"/>
      <c r="D131" s="5"/>
      <c r="E131" s="6"/>
      <c r="F131" s="6"/>
      <c r="G131" s="6"/>
      <c r="H131" s="5"/>
      <c r="I131" s="7"/>
    </row>
    <row r="132" spans="1:9">
      <c r="A132" s="4" t="s">
        <v>67</v>
      </c>
      <c r="B132" s="4" t="s">
        <v>62</v>
      </c>
      <c r="C132" s="5">
        <v>-1102.082525</v>
      </c>
      <c r="D132" s="5">
        <v>-1101.975046</v>
      </c>
      <c r="E132" s="6">
        <f>G132/SUM($G$132:$G$136)</f>
        <v>0.67289463354000623</v>
      </c>
      <c r="F132" s="6">
        <f>(D132-MIN($D$132:$D$136))*2625.5</f>
        <v>0</v>
      </c>
      <c r="G132" s="6">
        <f>EXP(-F132*1000/(8.31*298.15))</f>
        <v>1</v>
      </c>
      <c r="H132" s="5">
        <f>D132*E132</f>
        <v>-741.5130947484015</v>
      </c>
      <c r="I132" s="7"/>
    </row>
    <row r="133" spans="1:9">
      <c r="A133" s="4"/>
      <c r="B133" s="4" t="s">
        <v>63</v>
      </c>
      <c r="C133" s="5">
        <v>-1102.0825910000001</v>
      </c>
      <c r="D133" s="5">
        <v>-1101.9743639999999</v>
      </c>
      <c r="E133" s="6">
        <f>G133/SUM($G$132:$G$136)</f>
        <v>0.32664847290272275</v>
      </c>
      <c r="F133" s="6">
        <f>(D133-MIN($D$132:$D$136))*2625.5</f>
        <v>1.790591000254949</v>
      </c>
      <c r="G133" s="6">
        <f>EXP(-F133*1000/(8.31*298.15))</f>
        <v>0.48543777379271108</v>
      </c>
      <c r="H133" s="5">
        <f>D133*E133</f>
        <v>-359.95824317854914</v>
      </c>
      <c r="I133" s="7"/>
    </row>
    <row r="134" spans="1:9">
      <c r="A134" s="4"/>
      <c r="B134" s="4" t="s">
        <v>64</v>
      </c>
      <c r="C134" s="5">
        <v>-1102.0747240000001</v>
      </c>
      <c r="D134" s="5">
        <v>-1101.967474</v>
      </c>
      <c r="E134" s="6">
        <f>G134/SUM($G$132:$G$136)</f>
        <v>2.2039476643860226E-4</v>
      </c>
      <c r="F134" s="6">
        <f>(D134-MIN($D$132:$D$136))*2625.5</f>
        <v>19.880285999952548</v>
      </c>
      <c r="G134" s="6">
        <f>EXP(-F134*1000/(8.31*298.15))</f>
        <v>3.2753235863858157E-4</v>
      </c>
      <c r="H134" s="5">
        <f>D134*E134</f>
        <v>-0.24286786405516653</v>
      </c>
      <c r="I134" s="7"/>
    </row>
    <row r="135" spans="1:9">
      <c r="A135" s="4"/>
      <c r="B135" s="4" t="s">
        <v>65</v>
      </c>
      <c r="C135" s="5">
        <v>-1102.0747200000001</v>
      </c>
      <c r="D135" s="5">
        <v>-1101.967414</v>
      </c>
      <c r="E135" s="6">
        <f>G135/SUM($G$132:$G$136)</f>
        <v>2.0681802891350028E-4</v>
      </c>
      <c r="F135" s="6">
        <f>(D135-MIN($D$132:$D$136))*2625.5</f>
        <v>20.037816000151793</v>
      </c>
      <c r="G135" s="6">
        <f>EXP(-F135*1000/(8.31*298.15))</f>
        <v>3.0735574130746001E-4</v>
      </c>
      <c r="H135" s="5">
        <f>D135*E135</f>
        <v>-0.22790672849038712</v>
      </c>
      <c r="I135" s="7"/>
    </row>
    <row r="136" spans="1:9">
      <c r="A136" s="4"/>
      <c r="B136" s="4" t="s">
        <v>66</v>
      </c>
      <c r="C136" s="5">
        <v>-1102.0747249999999</v>
      </c>
      <c r="D136" s="5">
        <v>-1101.965582</v>
      </c>
      <c r="E136" s="6">
        <f>G136/SUM($G$132:$G$136)</f>
        <v>2.9680761918938257E-5</v>
      </c>
      <c r="F136" s="6">
        <f>(D136-MIN($D$132:$D$136))*2625.5</f>
        <v>24.847731999947314</v>
      </c>
      <c r="G136" s="6">
        <f>EXP(-F136*1000/(8.31*298.15))</f>
        <v>4.4109078062923232E-5</v>
      </c>
      <c r="H136" s="5">
        <f>D136*E136</f>
        <v>-3.2707178082206231E-2</v>
      </c>
      <c r="I136" s="7"/>
    </row>
    <row r="137" spans="1:9">
      <c r="A137" s="4"/>
      <c r="C137" s="5" t="s">
        <v>219</v>
      </c>
      <c r="D137" s="5">
        <f>SUMPRODUCT($D$132:$D$136,$E$132:$E$136)</f>
        <v>-1101.9748196975784</v>
      </c>
      <c r="E137" s="6">
        <f>SUM($E$132:$E$136)</f>
        <v>1</v>
      </c>
      <c r="F137" s="6"/>
      <c r="G137" s="6"/>
      <c r="H137" s="5"/>
      <c r="I137" s="7">
        <f>2625.5*((D130+$D$6)-(D137+$D$3))</f>
        <v>10.114453523885231</v>
      </c>
    </row>
    <row r="138" spans="1:9">
      <c r="A138" s="4"/>
      <c r="B138" s="4"/>
      <c r="C138" s="5"/>
      <c r="D138" s="5"/>
      <c r="E138" s="6"/>
      <c r="F138" s="6"/>
      <c r="G138" s="6"/>
      <c r="H138" s="5"/>
      <c r="I138" s="7"/>
    </row>
    <row r="139" spans="1:9">
      <c r="A139" s="4" t="s">
        <v>69</v>
      </c>
      <c r="B139" s="4" t="s">
        <v>68</v>
      </c>
      <c r="C139" s="5">
        <v>-460.067139</v>
      </c>
      <c r="D139" s="5">
        <v>-459.95765499999999</v>
      </c>
      <c r="E139" s="6">
        <f>G139/SUM($G$139:$G$139)</f>
        <v>1</v>
      </c>
      <c r="F139" s="6">
        <f>(D139-MIN($D$139:$D$139))*2625.5</f>
        <v>0</v>
      </c>
      <c r="G139" s="6">
        <f>EXP(-F139*1000/(8.31*298.15))</f>
        <v>1</v>
      </c>
      <c r="H139" s="5">
        <f>D139*E139</f>
        <v>-459.95765499999999</v>
      </c>
      <c r="I139" s="7"/>
    </row>
    <row r="140" spans="1:9">
      <c r="A140" s="4"/>
      <c r="C140" s="5" t="s">
        <v>219</v>
      </c>
      <c r="D140" s="5">
        <f>SUMPRODUCT($D$139:$D$139,$E$139:$E$139)</f>
        <v>-459.95765499999999</v>
      </c>
      <c r="E140" s="6">
        <f>SUM($E$139:$E$139)</f>
        <v>1</v>
      </c>
      <c r="F140" s="6"/>
      <c r="G140" s="6"/>
      <c r="H140" s="5"/>
      <c r="I140" s="7"/>
    </row>
    <row r="141" spans="1:9">
      <c r="A141" s="4"/>
      <c r="B141" s="4"/>
      <c r="C141" s="5"/>
      <c r="D141" s="5"/>
      <c r="E141" s="6"/>
      <c r="F141" s="6"/>
      <c r="G141" s="6"/>
      <c r="H141" s="5"/>
      <c r="I141" s="7"/>
    </row>
    <row r="142" spans="1:9">
      <c r="A142" s="4" t="s">
        <v>73</v>
      </c>
      <c r="B142" s="4" t="s">
        <v>70</v>
      </c>
      <c r="C142" s="5">
        <v>-1026.8777419999999</v>
      </c>
      <c r="D142" s="5">
        <v>-1026.773766</v>
      </c>
      <c r="E142" s="6">
        <f>G142/SUM($G$142:$G$144)</f>
        <v>0.58396199861074261</v>
      </c>
      <c r="F142" s="6">
        <f>(D142-MIN($D$142:$D$144))*2625.5</f>
        <v>0</v>
      </c>
      <c r="G142" s="6">
        <f>EXP(-F142*1000/(8.31*298.15))</f>
        <v>1</v>
      </c>
      <c r="H142" s="5">
        <f>D142*E142</f>
        <v>-599.59686051443896</v>
      </c>
      <c r="I142" s="7"/>
    </row>
    <row r="143" spans="1:9">
      <c r="A143" s="4"/>
      <c r="B143" s="4" t="s">
        <v>71</v>
      </c>
      <c r="C143" s="5">
        <v>-1026.8777190000001</v>
      </c>
      <c r="D143" s="5">
        <v>-1026.773445</v>
      </c>
      <c r="E143" s="6">
        <f>G143/SUM($G$142:$G$144)</f>
        <v>0.41558098129988696</v>
      </c>
      <c r="F143" s="6">
        <f>(D143-MIN($D$142:$D$144))*2625.5</f>
        <v>0.84278549996156471</v>
      </c>
      <c r="G143" s="6">
        <f>EXP(-F143*1000/(8.31*298.15))</f>
        <v>0.71165757752826808</v>
      </c>
      <c r="H143" s="5">
        <f>D143*E143</f>
        <v>-426.70751584576556</v>
      </c>
      <c r="I143" s="7"/>
    </row>
    <row r="144" spans="1:9">
      <c r="A144" s="4"/>
      <c r="B144" s="4" t="s">
        <v>72</v>
      </c>
      <c r="C144" s="5">
        <v>-1026.8698420000001</v>
      </c>
      <c r="D144" s="5">
        <v>-1026.767016</v>
      </c>
      <c r="E144" s="6">
        <f>G144/SUM($G$142:$G$144)</f>
        <v>4.570200893704057E-4</v>
      </c>
      <c r="F144" s="6">
        <f>(D144-MIN($D$142:$D$144))*2625.5</f>
        <v>17.722125000028655</v>
      </c>
      <c r="G144" s="6">
        <f>EXP(-F144*1000/(8.31*298.15))</f>
        <v>7.8261957192020328E-4</v>
      </c>
      <c r="H144" s="5">
        <f>D144*E144</f>
        <v>-0.46925315341490481</v>
      </c>
      <c r="I144" s="7"/>
    </row>
    <row r="145" spans="1:9">
      <c r="A145" s="4"/>
      <c r="C145" s="5" t="s">
        <v>219</v>
      </c>
      <c r="D145" s="5">
        <f>SUMPRODUCT($D$142:$D$144,$E$142:$E$144)</f>
        <v>-1026.7736295136194</v>
      </c>
      <c r="E145" s="6">
        <f>SUM($E$142:$E$144)</f>
        <v>1</v>
      </c>
      <c r="F145" s="6"/>
      <c r="G145" s="6"/>
      <c r="H145" s="5"/>
      <c r="I145" s="7">
        <f>2625.5*((D140+$D$6)-(D145+$D$3))</f>
        <v>9.4452720080622612</v>
      </c>
    </row>
    <row r="146" spans="1:9">
      <c r="A146" s="4"/>
      <c r="B146" s="4"/>
      <c r="C146" s="5"/>
      <c r="D146" s="5"/>
      <c r="E146" s="6"/>
      <c r="F146" s="6"/>
      <c r="G146" s="6"/>
      <c r="H146" s="5"/>
      <c r="I146" s="7"/>
    </row>
    <row r="147" spans="1:9">
      <c r="A147" s="4" t="s">
        <v>75</v>
      </c>
      <c r="B147" s="4" t="s">
        <v>74</v>
      </c>
      <c r="C147" s="5">
        <v>-420.761912</v>
      </c>
      <c r="D147" s="5">
        <v>-420.67655100000002</v>
      </c>
      <c r="E147" s="6">
        <f>G147/SUM($G$147:$G$147)</f>
        <v>1</v>
      </c>
      <c r="F147" s="6">
        <f>(D147-MIN($D$147:$D$147))*2625.5</f>
        <v>0</v>
      </c>
      <c r="G147" s="6">
        <f>EXP(-F147*1000/(8.31*298.15))</f>
        <v>1</v>
      </c>
      <c r="H147" s="5">
        <f>D147*E147</f>
        <v>-420.67655100000002</v>
      </c>
      <c r="I147" s="7"/>
    </row>
    <row r="148" spans="1:9">
      <c r="A148" s="4"/>
      <c r="C148" s="5" t="s">
        <v>219</v>
      </c>
      <c r="D148" s="5">
        <f>SUMPRODUCT($D$147:$D$147,$E$147:$E$147)</f>
        <v>-420.67655100000002</v>
      </c>
      <c r="E148" s="6">
        <f>SUM($E$147:$E$147)</f>
        <v>1</v>
      </c>
      <c r="F148" s="6"/>
      <c r="G148" s="6"/>
      <c r="H148" s="5"/>
      <c r="I148" s="7"/>
    </row>
    <row r="149" spans="1:9">
      <c r="A149" s="4"/>
      <c r="B149" s="4"/>
      <c r="C149" s="5"/>
      <c r="D149" s="5"/>
      <c r="E149" s="6"/>
      <c r="F149" s="6"/>
      <c r="G149" s="6"/>
      <c r="H149" s="5"/>
      <c r="I149" s="7"/>
    </row>
    <row r="150" spans="1:9">
      <c r="A150" s="4" t="s">
        <v>81</v>
      </c>
      <c r="B150" s="4" t="s">
        <v>76</v>
      </c>
      <c r="C150" s="5">
        <v>-987.57287899999994</v>
      </c>
      <c r="D150" s="5">
        <v>-987.49353499999995</v>
      </c>
      <c r="E150" s="6">
        <f>G150/SUM($G$150:$G$154)</f>
        <v>0.51965824503899416</v>
      </c>
      <c r="F150" s="6">
        <f>(D150-MIN($D$150:$D$154))*2625.5</f>
        <v>0</v>
      </c>
      <c r="G150" s="6">
        <f>EXP(-F150*1000/(8.31*298.15))</f>
        <v>1</v>
      </c>
      <c r="H150" s="5">
        <f>D150*E150</f>
        <v>-513.15915738545254</v>
      </c>
      <c r="I150" s="7"/>
    </row>
    <row r="151" spans="1:9">
      <c r="A151" s="4"/>
      <c r="B151" s="4" t="s">
        <v>77</v>
      </c>
      <c r="C151" s="5">
        <v>-987.57288000000005</v>
      </c>
      <c r="D151" s="5">
        <v>-987.49346000000003</v>
      </c>
      <c r="E151" s="6">
        <f>G151/SUM($G$150:$G$154)</f>
        <v>0.4799563247353491</v>
      </c>
      <c r="F151" s="6">
        <f>(D151-MIN($D$150:$D$154))*2625.5</f>
        <v>0.19691249980132852</v>
      </c>
      <c r="G151" s="6">
        <f>EXP(-F151*1000/(8.31*298.15))</f>
        <v>0.92359994153337088</v>
      </c>
      <c r="H151" s="5">
        <f>D151*E151</f>
        <v>-473.95373176179351</v>
      </c>
      <c r="I151" s="7"/>
    </row>
    <row r="152" spans="1:9">
      <c r="A152" s="4"/>
      <c r="B152" s="4" t="s">
        <v>78</v>
      </c>
      <c r="C152" s="5">
        <v>-987.56525699999997</v>
      </c>
      <c r="D152" s="5">
        <v>-987.48583299999996</v>
      </c>
      <c r="E152" s="6">
        <f>G152/SUM($G$150:$G$154)</f>
        <v>1.4830101472491377E-4</v>
      </c>
      <c r="F152" s="6">
        <f>(D152-MIN($D$150:$D$154))*2625.5</f>
        <v>20.221600999986265</v>
      </c>
      <c r="G152" s="6">
        <f>EXP(-F152*1000/(8.31*298.15))</f>
        <v>2.8538181803270638E-4</v>
      </c>
      <c r="H152" s="5">
        <f>D152*E152</f>
        <v>-0.14644515106037673</v>
      </c>
      <c r="I152" s="7"/>
    </row>
    <row r="153" spans="1:9">
      <c r="A153" s="4"/>
      <c r="B153" s="4" t="s">
        <v>79</v>
      </c>
      <c r="C153" s="5">
        <v>-987.56531199999995</v>
      </c>
      <c r="D153" s="5">
        <v>-987.48564599999997</v>
      </c>
      <c r="E153" s="6">
        <f>G153/SUM($G$150:$G$154)</f>
        <v>1.2164211755953766E-4</v>
      </c>
      <c r="F153" s="6">
        <f>(D153-MIN($D$150:$D$154))*2625.5</f>
        <v>20.712569499940628</v>
      </c>
      <c r="G153" s="6">
        <f>EXP(-F153*1000/(8.31*298.15))</f>
        <v>2.3408099211513498E-4</v>
      </c>
      <c r="H153" s="5">
        <f>D153*E153</f>
        <v>-0.12011984503908799</v>
      </c>
      <c r="I153" s="7"/>
    </row>
    <row r="154" spans="1:9">
      <c r="A154" s="4"/>
      <c r="B154" s="4" t="s">
        <v>80</v>
      </c>
      <c r="C154" s="5">
        <v>-987.56531500000006</v>
      </c>
      <c r="D154" s="5">
        <v>-987.48559699999998</v>
      </c>
      <c r="E154" s="6">
        <f>G154/SUM($G$150:$G$154)</f>
        <v>1.1548709337242824E-4</v>
      </c>
      <c r="F154" s="6">
        <f>(D154-MIN($D$150:$D$154))*2625.5</f>
        <v>20.841218999914304</v>
      </c>
      <c r="G154" s="6">
        <f>EXP(-F154*1000/(8.31*298.15))</f>
        <v>2.2223662277072562E-4</v>
      </c>
      <c r="H154" s="5">
        <f>D154*E154</f>
        <v>-0.11404184134466704</v>
      </c>
      <c r="I154" s="7"/>
    </row>
    <row r="155" spans="1:9">
      <c r="A155" s="4"/>
      <c r="C155" s="5" t="s">
        <v>219</v>
      </c>
      <c r="D155" s="5">
        <f>SUMPRODUCT($D$150:$D$154,$E$150:$E$154)</f>
        <v>-987.49349598469018</v>
      </c>
      <c r="E155" s="6">
        <f>SUM($E$150:$E$154)</f>
        <v>1.0000000000000002</v>
      </c>
      <c r="F155" s="6"/>
      <c r="G155" s="6"/>
      <c r="H155" s="5"/>
      <c r="I155" s="7">
        <f>2625.5*((D148+$D$6)-(D155+$D$3))</f>
        <v>11.993243804412259</v>
      </c>
    </row>
    <row r="156" spans="1:9">
      <c r="A156" s="4"/>
      <c r="B156" s="4"/>
      <c r="C156" s="5"/>
      <c r="D156" s="5"/>
      <c r="E156" s="6"/>
      <c r="F156" s="6"/>
      <c r="G156" s="6"/>
      <c r="H156" s="5"/>
      <c r="I156" s="7"/>
    </row>
    <row r="157" spans="1:9">
      <c r="A157" s="4" t="s">
        <v>87</v>
      </c>
      <c r="B157" s="4" t="s">
        <v>86</v>
      </c>
      <c r="C157" s="5">
        <v>-880.34414200000003</v>
      </c>
      <c r="D157" s="5">
        <v>-880.27081799999996</v>
      </c>
      <c r="E157" s="6">
        <f>G157/SUM($G$157:$G$157)</f>
        <v>1</v>
      </c>
      <c r="F157" s="6">
        <f>(D157-MIN($D$157:$D$157))*2625.5</f>
        <v>0</v>
      </c>
      <c r="G157" s="6">
        <f>EXP(-F157*1000/(8.31*298.15))</f>
        <v>1</v>
      </c>
      <c r="H157" s="5">
        <f>D157*E157</f>
        <v>-880.27081799999996</v>
      </c>
      <c r="I157" s="7"/>
    </row>
    <row r="158" spans="1:9">
      <c r="A158" s="4"/>
      <c r="C158" s="5" t="s">
        <v>219</v>
      </c>
      <c r="D158" s="5">
        <f>SUMPRODUCT($D$157:$D$157,$E$157:$E$157)</f>
        <v>-880.27081799999996</v>
      </c>
      <c r="E158" s="6">
        <f>SUM($E$157:$E$157)</f>
        <v>1</v>
      </c>
      <c r="F158" s="6"/>
      <c r="G158" s="6"/>
      <c r="H158" s="5"/>
      <c r="I158" s="7"/>
    </row>
    <row r="159" spans="1:9">
      <c r="A159" s="4"/>
      <c r="B159" s="4"/>
      <c r="C159" s="5"/>
      <c r="D159" s="5"/>
      <c r="E159" s="6"/>
      <c r="F159" s="6"/>
      <c r="G159" s="6"/>
      <c r="H159" s="5"/>
      <c r="I159" s="7"/>
    </row>
    <row r="160" spans="1:9">
      <c r="A160" s="4" t="s">
        <v>91</v>
      </c>
      <c r="B160" s="4" t="s">
        <v>88</v>
      </c>
      <c r="C160" s="5">
        <v>-1447.1553859999999</v>
      </c>
      <c r="D160" s="5">
        <v>-1447.0886069999999</v>
      </c>
      <c r="E160" s="6">
        <f>G160/SUM($G$160:$G$162)</f>
        <v>0.66627215709173337</v>
      </c>
      <c r="F160" s="6">
        <f>(D160-MIN($D$160:$D$162))*2625.5</f>
        <v>0</v>
      </c>
      <c r="G160" s="6">
        <f>EXP(-F160*1000/(8.31*298.15))</f>
        <v>1</v>
      </c>
      <c r="H160" s="5">
        <f>D160*E160</f>
        <v>-964.15484768876161</v>
      </c>
      <c r="I160" s="7"/>
    </row>
    <row r="161" spans="1:9">
      <c r="A161" s="4"/>
      <c r="B161" s="4" t="s">
        <v>89</v>
      </c>
      <c r="C161" s="5">
        <v>-1447.15551</v>
      </c>
      <c r="D161" s="5">
        <v>-1447.0879540000001</v>
      </c>
      <c r="E161" s="6">
        <f>G161/SUM($G$160:$G$162)</f>
        <v>0.33352735476182754</v>
      </c>
      <c r="F161" s="6">
        <f>(D161-MIN($D$160:$D$162))*2625.5</f>
        <v>1.7144514995517284</v>
      </c>
      <c r="G161" s="6">
        <f>EXP(-F161*1000/(8.31*298.15))</f>
        <v>0.50058726184457225</v>
      </c>
      <c r="H161" s="5">
        <f>D161*E161</f>
        <v>-482.64341740532518</v>
      </c>
      <c r="I161" s="7"/>
    </row>
    <row r="162" spans="1:9">
      <c r="A162" s="4"/>
      <c r="B162" s="4" t="s">
        <v>90</v>
      </c>
      <c r="C162" s="5">
        <v>-1447.147804</v>
      </c>
      <c r="D162" s="5">
        <v>-1447.0809549999999</v>
      </c>
      <c r="E162" s="6">
        <f>G162/SUM($G$160:$G$162)</f>
        <v>2.0048814643913371E-4</v>
      </c>
      <c r="F162" s="6">
        <f>(D162-MIN($D$160:$D$162))*2625.5</f>
        <v>20.090326000019218</v>
      </c>
      <c r="G162" s="6">
        <f>EXP(-F162*1000/(8.31*298.15))</f>
        <v>3.0091028764320731E-4</v>
      </c>
      <c r="H162" s="5">
        <f>D162*E162</f>
        <v>-0.29012257841532146</v>
      </c>
      <c r="I162" s="7"/>
    </row>
    <row r="163" spans="1:9">
      <c r="A163" s="4"/>
      <c r="C163" s="5" t="s">
        <v>219</v>
      </c>
      <c r="D163" s="5">
        <f>SUMPRODUCT($D$160:$D$162,$E$160:$E$162)</f>
        <v>-1447.088387672502</v>
      </c>
      <c r="E163" s="6">
        <f>SUM($E$160:$E$162)</f>
        <v>1</v>
      </c>
      <c r="F163" s="6"/>
      <c r="G163" s="6"/>
      <c r="H163" s="5"/>
      <c r="I163" s="7">
        <f>2625.5*((D158+$D$6)-(D163+$D$3))</f>
        <v>13.633361654761075</v>
      </c>
    </row>
    <row r="164" spans="1:9">
      <c r="A164" s="4"/>
      <c r="B164" s="4"/>
      <c r="C164" s="5"/>
      <c r="D164" s="5"/>
      <c r="E164" s="6"/>
      <c r="F164" s="6"/>
      <c r="G164" s="6"/>
      <c r="H164" s="5"/>
      <c r="I164" s="7"/>
    </row>
    <row r="165" spans="1:9">
      <c r="A165" s="4" t="s">
        <v>93</v>
      </c>
      <c r="B165" s="4" t="s">
        <v>92</v>
      </c>
      <c r="C165" s="5">
        <v>-625.25766799999997</v>
      </c>
      <c r="D165" s="5">
        <v>-625.17473800000005</v>
      </c>
      <c r="E165" s="6">
        <f>G165/SUM($G$165:$G$165)</f>
        <v>1</v>
      </c>
      <c r="F165" s="6">
        <f>(D165-MIN($D$165:$D$165))*2625.5</f>
        <v>0</v>
      </c>
      <c r="G165" s="6">
        <f>EXP(-F165*1000/(8.31*298.15))</f>
        <v>1</v>
      </c>
      <c r="H165" s="5">
        <f>D165*E165</f>
        <v>-625.17473800000005</v>
      </c>
      <c r="I165" s="7"/>
    </row>
    <row r="166" spans="1:9">
      <c r="A166" s="4"/>
      <c r="C166" s="5" t="s">
        <v>219</v>
      </c>
      <c r="D166" s="5">
        <f>SUMPRODUCT($D$165:$D$165,$E$165:$E$165)</f>
        <v>-625.17473800000005</v>
      </c>
      <c r="E166" s="6">
        <f>SUM($E$165:$E$165)</f>
        <v>1</v>
      </c>
      <c r="F166" s="6"/>
      <c r="G166" s="6"/>
      <c r="H166" s="5"/>
      <c r="I166" s="7"/>
    </row>
    <row r="167" spans="1:9">
      <c r="A167" s="4"/>
      <c r="B167" s="4"/>
      <c r="C167" s="5"/>
      <c r="D167" s="5"/>
      <c r="E167" s="6"/>
      <c r="F167" s="6"/>
      <c r="G167" s="6"/>
      <c r="H167" s="5"/>
      <c r="I167" s="7"/>
    </row>
    <row r="168" spans="1:9">
      <c r="A168" s="4" t="s">
        <v>96</v>
      </c>
      <c r="B168" s="4" t="s">
        <v>94</v>
      </c>
      <c r="C168" s="5">
        <v>-1192.0702429999999</v>
      </c>
      <c r="D168" s="5">
        <v>-1191.993577</v>
      </c>
      <c r="E168" s="6">
        <f>G168/SUM($G$168:$G$169)</f>
        <v>0.99822399121922278</v>
      </c>
      <c r="F168" s="6">
        <f>(D168-MIN($D$168:$D$169))*2625.5</f>
        <v>0</v>
      </c>
      <c r="G168" s="6">
        <f>EXP(-F168*1000/(8.31*298.15))</f>
        <v>1</v>
      </c>
      <c r="H168" s="5">
        <f>D168*E168</f>
        <v>-1189.8765859406178</v>
      </c>
      <c r="I168" s="7"/>
    </row>
    <row r="169" spans="1:9">
      <c r="A169" s="4"/>
      <c r="B169" s="4" t="s">
        <v>95</v>
      </c>
      <c r="C169" s="5">
        <v>-1192.0637859999999</v>
      </c>
      <c r="D169" s="5">
        <v>-1191.9876019999999</v>
      </c>
      <c r="E169" s="6">
        <f>G169/SUM($G$168:$G$169)</f>
        <v>1.7760087807771499E-3</v>
      </c>
      <c r="F169" s="6">
        <f>(D169-MIN($D$168:$D$169))*2625.5</f>
        <v>15.687362500091695</v>
      </c>
      <c r="G169" s="6">
        <f>EXP(-F169*1000/(8.31*298.15))</f>
        <v>1.7791685998329362E-3</v>
      </c>
      <c r="H169" s="5">
        <f>D169*E169</f>
        <v>-2.1169804477294987</v>
      </c>
      <c r="I169" s="7"/>
    </row>
    <row r="170" spans="1:9">
      <c r="A170" s="4"/>
      <c r="C170" s="5" t="s">
        <v>219</v>
      </c>
      <c r="D170" s="5">
        <f>SUMPRODUCT($D$168:$D$169,$E$168:$E$169)</f>
        <v>-1191.9935663883473</v>
      </c>
      <c r="E170" s="6">
        <f>SUM($E$168:$E$169)</f>
        <v>0.99999999999999989</v>
      </c>
      <c r="F170" s="6"/>
      <c r="G170" s="6"/>
      <c r="H170" s="5"/>
      <c r="I170" s="7">
        <f>2625.5*((D166+$D$6)-(D170+$D$3))</f>
        <v>16.938120106063138</v>
      </c>
    </row>
    <row r="171" spans="1:9">
      <c r="A171" s="4"/>
      <c r="B171" s="4"/>
      <c r="C171" s="5"/>
      <c r="D171" s="5"/>
      <c r="E171" s="6"/>
      <c r="F171" s="6"/>
      <c r="G171" s="6"/>
      <c r="H171" s="5"/>
      <c r="I171" s="7"/>
    </row>
    <row r="172" spans="1:9">
      <c r="A172" s="4" t="s">
        <v>99</v>
      </c>
      <c r="B172" s="4" t="s">
        <v>97</v>
      </c>
      <c r="C172" s="5">
        <v>-625.25835600000005</v>
      </c>
      <c r="D172" s="5">
        <v>-625.17548799999997</v>
      </c>
      <c r="E172" s="6">
        <f>G172/SUM($G$172:$G$173)</f>
        <v>0.52356049749846689</v>
      </c>
      <c r="F172" s="6">
        <f>(D172-MIN($D$172:$D$173))*2625.5</f>
        <v>0</v>
      </c>
      <c r="G172" s="6">
        <f>EXP(-F172*1000/(8.31*298.15))</f>
        <v>1</v>
      </c>
      <c r="H172" s="5">
        <f>D172*E172</f>
        <v>-327.31718952112681</v>
      </c>
      <c r="I172" s="7"/>
    </row>
    <row r="173" spans="1:9">
      <c r="A173" s="4"/>
      <c r="B173" s="4" t="s">
        <v>98</v>
      </c>
      <c r="C173" s="5">
        <v>-625.25837899999999</v>
      </c>
      <c r="D173" s="5">
        <v>-625.17539899999997</v>
      </c>
      <c r="E173" s="6">
        <f>G173/SUM($G$172:$G$173)</f>
        <v>0.47643950250153311</v>
      </c>
      <c r="F173" s="6">
        <f>(D173-MIN($D$172:$D$173))*2625.5</f>
        <v>0.23366950000701081</v>
      </c>
      <c r="G173" s="6">
        <f>EXP(-F173*1000/(8.31*298.15))</f>
        <v>0.90999894907642109</v>
      </c>
      <c r="H173" s="5">
        <f>D173*E173</f>
        <v>-297.85825607575742</v>
      </c>
      <c r="I173" s="7"/>
    </row>
    <row r="174" spans="1:9">
      <c r="A174" s="4"/>
      <c r="C174" s="5" t="s">
        <v>219</v>
      </c>
      <c r="D174" s="5">
        <f>SUMPRODUCT($D$172:$D$173,$E$172:$E$173)</f>
        <v>-625.17544559688417</v>
      </c>
      <c r="E174" s="6">
        <f>SUM($E$172:$E$173)</f>
        <v>1</v>
      </c>
      <c r="F174" s="6"/>
      <c r="G174" s="6"/>
      <c r="H174" s="5"/>
      <c r="I174" s="7"/>
    </row>
    <row r="175" spans="1:9">
      <c r="A175" s="4"/>
      <c r="B175" s="4"/>
      <c r="C175" s="5"/>
      <c r="D175" s="5"/>
      <c r="E175" s="6"/>
      <c r="F175" s="6"/>
      <c r="G175" s="6"/>
      <c r="H175" s="5"/>
      <c r="I175" s="7"/>
    </row>
    <row r="176" spans="1:9">
      <c r="A176" s="4" t="s">
        <v>106</v>
      </c>
      <c r="B176" s="4" t="s">
        <v>100</v>
      </c>
      <c r="C176" s="5">
        <v>-1192.070669</v>
      </c>
      <c r="D176" s="5">
        <v>-1191.9945070000001</v>
      </c>
      <c r="E176" s="6">
        <f t="shared" ref="E176:E181" si="4">G176/SUM($G$176:$G$181)</f>
        <v>0.58468840392459076</v>
      </c>
      <c r="F176" s="6">
        <f t="shared" ref="F176:F181" si="5">(D176-MIN($D$176:$D$181))*2625.5</f>
        <v>0</v>
      </c>
      <c r="G176" s="6">
        <f t="shared" ref="G176:G181" si="6">EXP(-F176*1000/(8.31*298.15))</f>
        <v>1</v>
      </c>
      <c r="H176" s="5">
        <f t="shared" ref="H176:H181" si="7">D176*E176</f>
        <v>-696.94536578470945</v>
      </c>
      <c r="I176" s="7"/>
    </row>
    <row r="177" spans="1:9">
      <c r="A177" s="4"/>
      <c r="B177" s="4" t="s">
        <v>101</v>
      </c>
      <c r="C177" s="5">
        <v>-1192.0707829999999</v>
      </c>
      <c r="D177" s="5">
        <v>-1191.9936439999999</v>
      </c>
      <c r="E177" s="6">
        <f t="shared" si="4"/>
        <v>0.23429293099110562</v>
      </c>
      <c r="F177" s="6">
        <f t="shared" si="5"/>
        <v>2.2658065005475692</v>
      </c>
      <c r="G177" s="6">
        <f t="shared" si="6"/>
        <v>0.40071417428234679</v>
      </c>
      <c r="H177" s="5">
        <f t="shared" si="7"/>
        <v>-279.27568457552849</v>
      </c>
      <c r="I177" s="7"/>
    </row>
    <row r="178" spans="1:9">
      <c r="A178" s="4"/>
      <c r="B178" s="4" t="s">
        <v>102</v>
      </c>
      <c r="C178" s="5">
        <v>-1192.0708079999999</v>
      </c>
      <c r="D178" s="5">
        <v>-1191.993397</v>
      </c>
      <c r="E178" s="6">
        <f t="shared" si="4"/>
        <v>0.18033754449493927</v>
      </c>
      <c r="F178" s="6">
        <f t="shared" si="5"/>
        <v>2.9143050004026918</v>
      </c>
      <c r="G178" s="6">
        <f t="shared" si="6"/>
        <v>0.30843359178061963</v>
      </c>
      <c r="H178" s="5">
        <f t="shared" si="7"/>
        <v>-214.96116226916129</v>
      </c>
      <c r="I178" s="7"/>
    </row>
    <row r="179" spans="1:9">
      <c r="A179" s="4"/>
      <c r="B179" s="4" t="s">
        <v>103</v>
      </c>
      <c r="C179" s="5">
        <v>-1192.064132</v>
      </c>
      <c r="D179" s="5">
        <v>-1191.987631</v>
      </c>
      <c r="E179" s="6">
        <f t="shared" si="4"/>
        <v>4.0039452624699822E-4</v>
      </c>
      <c r="F179" s="6">
        <f t="shared" si="5"/>
        <v>18.052938000387371</v>
      </c>
      <c r="G179" s="6">
        <f t="shared" si="6"/>
        <v>6.8479984135043402E-4</v>
      </c>
      <c r="H179" s="5">
        <f t="shared" si="7"/>
        <v>-0.47726532280652673</v>
      </c>
      <c r="I179" s="7"/>
    </row>
    <row r="180" spans="1:9">
      <c r="A180" s="4"/>
      <c r="B180" s="4" t="s">
        <v>104</v>
      </c>
      <c r="C180" s="5">
        <v>-1192.0636280000001</v>
      </c>
      <c r="D180" s="5">
        <v>-1191.986797</v>
      </c>
      <c r="E180" s="6">
        <f t="shared" si="4"/>
        <v>1.6545087305056054E-4</v>
      </c>
      <c r="F180" s="6">
        <f t="shared" si="5"/>
        <v>20.24260500023172</v>
      </c>
      <c r="G180" s="6">
        <f t="shared" si="6"/>
        <v>2.8297272861922419E-4</v>
      </c>
      <c r="H180" s="5">
        <f t="shared" si="7"/>
        <v>-0.19721525622839128</v>
      </c>
      <c r="I180" s="7"/>
    </row>
    <row r="181" spans="1:9">
      <c r="A181" s="4"/>
      <c r="B181" s="4" t="s">
        <v>105</v>
      </c>
      <c r="C181" s="5">
        <v>-1192.0634889999999</v>
      </c>
      <c r="D181" s="5">
        <v>-1191.9864560000001</v>
      </c>
      <c r="E181" s="6">
        <f t="shared" si="4"/>
        <v>1.1527519006678776E-4</v>
      </c>
      <c r="F181" s="6">
        <f t="shared" si="5"/>
        <v>21.137900500060709</v>
      </c>
      <c r="G181" s="6">
        <f t="shared" si="6"/>
        <v>1.9715662101903972E-4</v>
      </c>
      <c r="H181" s="5">
        <f t="shared" si="7"/>
        <v>-0.13740646527243675</v>
      </c>
      <c r="I181" s="7"/>
    </row>
    <row r="182" spans="1:9">
      <c r="A182" s="4"/>
      <c r="C182" s="5" t="s">
        <v>219</v>
      </c>
      <c r="D182" s="5">
        <f>SUMPRODUCT($D$176:$D$181,$E$176:$E$181)</f>
        <v>-1191.9940996737068</v>
      </c>
      <c r="E182" s="6">
        <f>SUM($E$176:$E$181)</f>
        <v>0.99999999999999989</v>
      </c>
      <c r="F182" s="6"/>
      <c r="G182" s="6"/>
      <c r="H182" s="5"/>
      <c r="I182" s="7">
        <f>2625.5*((D174+$D$6)-(D182+$D$3))</f>
        <v>16.480465197994363</v>
      </c>
    </row>
    <row r="183" spans="1:9">
      <c r="A183" s="4"/>
      <c r="B183" s="4"/>
      <c r="C183" s="5"/>
      <c r="D183" s="5"/>
      <c r="E183" s="6"/>
      <c r="F183" s="6"/>
      <c r="G183" s="6"/>
      <c r="H183" s="5"/>
      <c r="I183" s="7"/>
    </row>
    <row r="184" spans="1:9">
      <c r="A184" s="4" t="s">
        <v>108</v>
      </c>
      <c r="B184" s="4" t="s">
        <v>107</v>
      </c>
      <c r="C184" s="5">
        <v>-829.74832400000003</v>
      </c>
      <c r="D184" s="5">
        <v>-829.66882499999997</v>
      </c>
      <c r="E184" s="6">
        <f>G184/SUM($G$184:$G$184)</f>
        <v>1</v>
      </c>
      <c r="F184" s="6">
        <f>(D184-MIN($D$184:$D$184))*2625.5</f>
        <v>0</v>
      </c>
      <c r="G184" s="6">
        <f>EXP(-F184*1000/(8.31*298.15))</f>
        <v>1</v>
      </c>
      <c r="H184" s="5">
        <f>D184*E184</f>
        <v>-829.66882499999997</v>
      </c>
      <c r="I184" s="7"/>
    </row>
    <row r="185" spans="1:9">
      <c r="A185" s="4"/>
      <c r="C185" s="5" t="s">
        <v>219</v>
      </c>
      <c r="D185" s="5">
        <f>SUMPRODUCT($D$184:$D$184,$E$184:$E$184)</f>
        <v>-829.66882499999997</v>
      </c>
      <c r="E185" s="6">
        <f>SUM($E$184:$E$184)</f>
        <v>1</v>
      </c>
      <c r="F185" s="6"/>
      <c r="G185" s="6"/>
      <c r="H185" s="5"/>
      <c r="I185" s="7"/>
    </row>
    <row r="186" spans="1:9">
      <c r="A186" s="4"/>
      <c r="B186" s="4"/>
      <c r="C186" s="5"/>
      <c r="D186" s="5"/>
      <c r="E186" s="6"/>
      <c r="F186" s="6"/>
      <c r="G186" s="6"/>
      <c r="H186" s="5"/>
      <c r="I186" s="7"/>
    </row>
    <row r="187" spans="1:9">
      <c r="A187" s="4" t="s">
        <v>110</v>
      </c>
      <c r="B187" s="4" t="s">
        <v>109</v>
      </c>
      <c r="C187" s="5">
        <v>-1396.562191</v>
      </c>
      <c r="D187" s="5">
        <v>-1396.4864299999999</v>
      </c>
      <c r="E187" s="6">
        <f>G187/SUM($G$187:$G$187)</f>
        <v>1</v>
      </c>
      <c r="F187" s="6">
        <f>(D187-MIN($D$187:$D$187))*2625.5</f>
        <v>0</v>
      </c>
      <c r="G187" s="6">
        <f>EXP(-F187*1000/(8.31*298.15))</f>
        <v>1</v>
      </c>
      <c r="H187" s="5">
        <f>D187*E187</f>
        <v>-1396.4864299999999</v>
      </c>
      <c r="I187" s="7"/>
    </row>
    <row r="188" spans="1:9">
      <c r="A188" s="4"/>
      <c r="C188" s="5" t="s">
        <v>219</v>
      </c>
      <c r="D188" s="5">
        <f>SUMPRODUCT($D$187:$D$187,$E$187:$E$187)</f>
        <v>-1396.4864299999999</v>
      </c>
      <c r="E188" s="6">
        <f>SUM($E$187:$E$187)</f>
        <v>1</v>
      </c>
      <c r="F188" s="6"/>
      <c r="G188" s="6"/>
      <c r="H188" s="5"/>
      <c r="I188" s="7">
        <f>2625.5*((D185+$D$6)-(D188+$D$3))</f>
        <v>13.72611399996913</v>
      </c>
    </row>
    <row r="189" spans="1:9">
      <c r="A189" s="4"/>
      <c r="B189" s="4"/>
      <c r="C189" s="5"/>
      <c r="D189" s="5"/>
      <c r="E189" s="6"/>
      <c r="F189" s="6"/>
      <c r="G189" s="6"/>
      <c r="H189" s="5"/>
      <c r="I189" s="7"/>
    </row>
    <row r="190" spans="1:9">
      <c r="A190" s="4" t="s">
        <v>112</v>
      </c>
      <c r="B190" s="4" t="s">
        <v>111</v>
      </c>
      <c r="C190" s="5">
        <v>-327.296448</v>
      </c>
      <c r="D190" s="5">
        <v>-327.168183</v>
      </c>
      <c r="E190" s="6">
        <f>G190/SUM($G$190:$G$190)</f>
        <v>1</v>
      </c>
      <c r="F190" s="6">
        <f>(D190-MIN($D$190:$D$190))*2625.5</f>
        <v>0</v>
      </c>
      <c r="G190" s="6">
        <f>EXP(-F190*1000/(8.31*298.15))</f>
        <v>1</v>
      </c>
      <c r="H190" s="5">
        <f>D190*E190</f>
        <v>-327.168183</v>
      </c>
      <c r="I190" s="7"/>
    </row>
    <row r="191" spans="1:9">
      <c r="A191" s="4"/>
      <c r="C191" s="5" t="s">
        <v>219</v>
      </c>
      <c r="D191" s="5">
        <f>SUMPRODUCT($D$190:$D$190,$E$190:$E$190)</f>
        <v>-327.168183</v>
      </c>
      <c r="E191" s="6">
        <f>SUM($E$190:$E$190)</f>
        <v>1</v>
      </c>
      <c r="F191" s="6"/>
      <c r="G191" s="6"/>
      <c r="H191" s="5"/>
      <c r="I191" s="7"/>
    </row>
    <row r="192" spans="1:9">
      <c r="A192" s="4"/>
      <c r="B192" s="4"/>
      <c r="C192" s="5"/>
      <c r="D192" s="5"/>
      <c r="E192" s="6"/>
      <c r="F192" s="6"/>
      <c r="G192" s="6"/>
      <c r="H192" s="5"/>
      <c r="I192" s="7"/>
    </row>
    <row r="193" spans="1:9">
      <c r="A193" s="4" t="s">
        <v>115</v>
      </c>
      <c r="B193" s="4" t="s">
        <v>113</v>
      </c>
      <c r="C193" s="5">
        <v>-894.10915</v>
      </c>
      <c r="D193" s="5">
        <v>-893.98810800000001</v>
      </c>
      <c r="E193" s="6">
        <f>G193/SUM($G$193:$G$194)</f>
        <v>0.52091653557977857</v>
      </c>
      <c r="F193" s="6">
        <f>(D193-MIN($D$193:$D$194))*2625.5</f>
        <v>0</v>
      </c>
      <c r="G193" s="6">
        <f>EXP(-F193*1000/(8.31*298.15))</f>
        <v>1</v>
      </c>
      <c r="H193" s="5">
        <f>D193*E193</f>
        <v>-465.69318806888094</v>
      </c>
      <c r="I193" s="7"/>
    </row>
    <row r="194" spans="1:9">
      <c r="A194" s="4"/>
      <c r="B194" s="4" t="s">
        <v>114</v>
      </c>
      <c r="C194" s="5">
        <v>-894.10915199999999</v>
      </c>
      <c r="D194" s="5">
        <v>-893.98802899999998</v>
      </c>
      <c r="E194" s="6">
        <f>G194/SUM($G$193:$G$194)</f>
        <v>0.47908346442022137</v>
      </c>
      <c r="F194" s="6">
        <f>(D194-MIN($D$193:$D$194))*2625.5</f>
        <v>0.20741450007329831</v>
      </c>
      <c r="G194" s="6">
        <f>EXP(-F194*1000/(8.31*298.15))</f>
        <v>0.91969333222836336</v>
      </c>
      <c r="H194" s="5">
        <f>D194*E194</f>
        <v>-428.29488208352535</v>
      </c>
      <c r="I194" s="7"/>
    </row>
    <row r="195" spans="1:9">
      <c r="A195" s="4"/>
      <c r="C195" s="5" t="s">
        <v>219</v>
      </c>
      <c r="D195" s="5">
        <f>SUMPRODUCT($D$193:$D$194,$E$193:$E$194)</f>
        <v>-893.98807015240629</v>
      </c>
      <c r="E195" s="6">
        <f>SUM($E$193:$E$194)</f>
        <v>1</v>
      </c>
      <c r="F195" s="6"/>
      <c r="G195" s="6"/>
      <c r="H195" s="5"/>
      <c r="I195" s="7">
        <f>2625.5*((D191+$D$6)-(D195+$D$3))</f>
        <v>19.717905142808092</v>
      </c>
    </row>
    <row r="196" spans="1:9">
      <c r="A196" s="4"/>
      <c r="B196" s="4"/>
      <c r="C196" s="5"/>
      <c r="D196" s="5"/>
      <c r="E196" s="6"/>
      <c r="F196" s="6"/>
      <c r="G196" s="6"/>
      <c r="H196" s="5"/>
      <c r="I196" s="7"/>
    </row>
    <row r="197" spans="1:9">
      <c r="A197" s="4" t="s">
        <v>117</v>
      </c>
      <c r="B197" s="4" t="s">
        <v>116</v>
      </c>
      <c r="C197" s="5">
        <v>-287.98963900000001</v>
      </c>
      <c r="D197" s="5">
        <v>-287.88743199999999</v>
      </c>
      <c r="E197" s="6">
        <f>G197/SUM($G$197:$G$197)</f>
        <v>1</v>
      </c>
      <c r="F197" s="6">
        <f>(D197-MIN($D$197:$D$197))*2625.5</f>
        <v>0</v>
      </c>
      <c r="G197" s="6">
        <f>EXP(-F197*1000/(8.31*298.15))</f>
        <v>1</v>
      </c>
      <c r="H197" s="5">
        <f>D197*E197</f>
        <v>-287.88743199999999</v>
      </c>
      <c r="I197" s="7"/>
    </row>
    <row r="198" spans="1:9">
      <c r="A198" s="4"/>
      <c r="C198" s="5" t="s">
        <v>219</v>
      </c>
      <c r="D198" s="5">
        <f>SUMPRODUCT($D$197:$D$197,$E$197:$E$197)</f>
        <v>-287.88743199999999</v>
      </c>
      <c r="E198" s="6">
        <f>SUM($E$197:$E$197)</f>
        <v>1</v>
      </c>
      <c r="F198" s="6"/>
      <c r="G198" s="6"/>
      <c r="H198" s="5"/>
      <c r="I198" s="7"/>
    </row>
    <row r="199" spans="1:9">
      <c r="A199" s="4"/>
      <c r="B199" s="4"/>
      <c r="C199" s="5"/>
      <c r="D199" s="5"/>
      <c r="E199" s="6"/>
      <c r="F199" s="6"/>
      <c r="G199" s="6"/>
      <c r="H199" s="5"/>
      <c r="I199" s="7"/>
    </row>
    <row r="200" spans="1:9">
      <c r="A200" s="4" t="s">
        <v>119</v>
      </c>
      <c r="B200" s="4" t="s">
        <v>118</v>
      </c>
      <c r="C200" s="5">
        <v>-854.80265399999996</v>
      </c>
      <c r="D200" s="5">
        <v>-854.70738100000005</v>
      </c>
      <c r="E200" s="6">
        <f>G200/SUM($G$200:$G$200)</f>
        <v>1</v>
      </c>
      <c r="F200" s="6">
        <f>(D200-MIN($D$200:$D$200))*2625.5</f>
        <v>0</v>
      </c>
      <c r="G200" s="6">
        <f>EXP(-F200*1000/(8.31*298.15))</f>
        <v>1</v>
      </c>
      <c r="H200" s="5">
        <f>D200*E200</f>
        <v>-854.70738100000005</v>
      </c>
      <c r="I200" s="7"/>
    </row>
    <row r="201" spans="1:9">
      <c r="A201" s="4"/>
      <c r="C201" s="5" t="s">
        <v>219</v>
      </c>
      <c r="D201" s="5">
        <f>SUMPRODUCT($D$200:$D$200,$E$200:$E$200)</f>
        <v>-854.70738100000005</v>
      </c>
      <c r="E201" s="6">
        <f>SUM($E$200:$E$200)</f>
        <v>1</v>
      </c>
      <c r="F201" s="6"/>
      <c r="G201" s="6"/>
      <c r="H201" s="5"/>
      <c r="I201" s="7">
        <f>2625.5*((D198+$D$6)-(D201+$D$3))</f>
        <v>19.880286000251033</v>
      </c>
    </row>
    <row r="202" spans="1:9">
      <c r="A202" s="4"/>
      <c r="B202" s="4"/>
      <c r="C202" s="5"/>
      <c r="D202" s="5"/>
      <c r="E202" s="6"/>
      <c r="F202" s="6"/>
      <c r="G202" s="6"/>
      <c r="H202" s="5"/>
      <c r="I202" s="7"/>
    </row>
    <row r="203" spans="1:9">
      <c r="A203" s="4" t="s">
        <v>121</v>
      </c>
      <c r="B203" s="4" t="s">
        <v>120</v>
      </c>
      <c r="C203" s="5">
        <v>-304.041988</v>
      </c>
      <c r="D203" s="5">
        <v>-303.94973599999997</v>
      </c>
      <c r="E203" s="6">
        <f>G203/SUM($G$203:$G$203)</f>
        <v>1</v>
      </c>
      <c r="F203" s="6">
        <f>(D203-MIN($D$203:$D$203))*2625.5</f>
        <v>0</v>
      </c>
      <c r="G203" s="6">
        <f>EXP(-F203*1000/(8.31*298.15))</f>
        <v>1</v>
      </c>
      <c r="H203" s="5">
        <f>D203*E203</f>
        <v>-303.94973599999997</v>
      </c>
      <c r="I203" s="7"/>
    </row>
    <row r="204" spans="1:9">
      <c r="A204" s="4"/>
      <c r="C204" s="5" t="s">
        <v>219</v>
      </c>
      <c r="D204" s="5">
        <f>SUMPRODUCT($D$203:$D$203,$E$203:$E$203)</f>
        <v>-303.94973599999997</v>
      </c>
      <c r="E204" s="6">
        <f>SUM($E$203:$E$203)</f>
        <v>1</v>
      </c>
      <c r="F204" s="6"/>
      <c r="G204" s="6"/>
      <c r="H204" s="5"/>
      <c r="I204" s="7"/>
    </row>
    <row r="205" spans="1:9">
      <c r="A205" s="4"/>
      <c r="B205" s="4"/>
      <c r="C205" s="5"/>
      <c r="D205" s="5"/>
      <c r="E205" s="6"/>
      <c r="F205" s="6"/>
      <c r="G205" s="6"/>
      <c r="H205" s="5"/>
      <c r="I205" s="7"/>
    </row>
    <row r="206" spans="1:9">
      <c r="A206" s="4" t="s">
        <v>127</v>
      </c>
      <c r="B206" s="4" t="s">
        <v>122</v>
      </c>
      <c r="C206" s="5">
        <v>-870.85506999999996</v>
      </c>
      <c r="D206" s="5">
        <v>-870.76923499999998</v>
      </c>
      <c r="E206" s="6">
        <f>G206/SUM($G$206:$G$210)</f>
        <v>0.2371202155679189</v>
      </c>
      <c r="F206" s="6">
        <f>(D206-MIN($D$206:$D$210))*2625.5</f>
        <v>0</v>
      </c>
      <c r="G206" s="6">
        <f>EXP(-F206*1000/(8.31*298.15))</f>
        <v>1</v>
      </c>
      <c r="H206" s="5">
        <f>D206*E206</f>
        <v>-206.47698871311184</v>
      </c>
      <c r="I206" s="7"/>
    </row>
    <row r="207" spans="1:9">
      <c r="A207" s="4"/>
      <c r="B207" s="4" t="s">
        <v>123</v>
      </c>
      <c r="C207" s="5">
        <v>-870.85504400000002</v>
      </c>
      <c r="D207" s="5">
        <v>-870.769139</v>
      </c>
      <c r="E207" s="6">
        <f>G207/SUM($G$206:$G$210)</f>
        <v>0.21418446552964165</v>
      </c>
      <c r="F207" s="6">
        <f>(D207-MIN($D$206:$D$210))*2625.5</f>
        <v>0.25204799996060956</v>
      </c>
      <c r="G207" s="6">
        <f>EXP(-F207*1000/(8.31*298.15))</f>
        <v>0.90327374668016147</v>
      </c>
      <c r="H207" s="5">
        <f>D207*E207</f>
        <v>-186.50522263642125</v>
      </c>
      <c r="I207" s="7"/>
    </row>
    <row r="208" spans="1:9">
      <c r="A208" s="4"/>
      <c r="B208" s="4" t="s">
        <v>124</v>
      </c>
      <c r="C208" s="5">
        <v>-870.85501599999998</v>
      </c>
      <c r="D208" s="5">
        <v>-870.76910599999997</v>
      </c>
      <c r="E208" s="6">
        <f>G208/SUM($G$206:$G$210)</f>
        <v>0.20682397632666619</v>
      </c>
      <c r="F208" s="6">
        <f>(D208-MIN($D$206:$D$210))*2625.5</f>
        <v>0.33868950004034559</v>
      </c>
      <c r="G208" s="6">
        <f>EXP(-F208*1000/(8.31*298.15))</f>
        <v>0.87223257549470767</v>
      </c>
      <c r="H208" s="5">
        <f>D208*E208</f>
        <v>-180.09592896533627</v>
      </c>
      <c r="I208" s="7"/>
    </row>
    <row r="209" spans="1:9">
      <c r="A209" s="4"/>
      <c r="B209" s="4" t="s">
        <v>125</v>
      </c>
      <c r="C209" s="5">
        <v>-870.85502399999996</v>
      </c>
      <c r="D209" s="5">
        <v>-870.76894300000004</v>
      </c>
      <c r="E209" s="6">
        <f>G209/SUM($G$206:$G$210)</f>
        <v>0.17401467939397106</v>
      </c>
      <c r="F209" s="6">
        <f>(D209-MIN($D$206:$D$210))*2625.5</f>
        <v>0.76664599985531368</v>
      </c>
      <c r="G209" s="6">
        <f>EXP(-F209*1000/(8.31*298.15))</f>
        <v>0.7338669078770621</v>
      </c>
      <c r="H209" s="5">
        <f>D209*E209</f>
        <v>-151.52657844237206</v>
      </c>
      <c r="I209" s="7"/>
    </row>
    <row r="210" spans="1:9">
      <c r="A210" s="4"/>
      <c r="B210" s="4" t="s">
        <v>126</v>
      </c>
      <c r="C210" s="5">
        <v>-870.85503800000004</v>
      </c>
      <c r="D210" s="5">
        <v>-870.76890900000001</v>
      </c>
      <c r="E210" s="6">
        <f>G210/SUM($G$206:$G$210)</f>
        <v>0.16785666318180228</v>
      </c>
      <c r="F210" s="6">
        <f>(D210-MIN($D$206:$D$210))*2625.5</f>
        <v>0.85591299992842096</v>
      </c>
      <c r="G210" s="6">
        <f>EXP(-F210*1000/(8.31*298.15))</f>
        <v>0.7078968901060344</v>
      </c>
      <c r="H210" s="5">
        <f>D210*E210</f>
        <v>-146.16436346719846</v>
      </c>
      <c r="I210" s="7"/>
    </row>
    <row r="211" spans="1:9">
      <c r="A211" s="4"/>
      <c r="C211" s="5" t="s">
        <v>219</v>
      </c>
      <c r="D211" s="5">
        <f>SUMPRODUCT($D$206:$D$210,$E$206:$E$210)</f>
        <v>-870.7690822244399</v>
      </c>
      <c r="E211" s="6">
        <f>SUM($E$206:$E$210)</f>
        <v>1.0000000000000002</v>
      </c>
      <c r="F211" s="6"/>
      <c r="G211" s="6"/>
      <c r="H211" s="5"/>
      <c r="I211" s="7">
        <f>2625.5*((D204+$D$6)-(D211+$D$3))</f>
        <v>18.29769876725419</v>
      </c>
    </row>
    <row r="212" spans="1:9">
      <c r="A212" s="4"/>
      <c r="B212" s="4"/>
      <c r="C212" s="5"/>
      <c r="D212" s="5"/>
      <c r="E212" s="6"/>
      <c r="F212" s="6"/>
      <c r="G212" s="6"/>
      <c r="H212" s="5"/>
      <c r="I212" s="7"/>
    </row>
    <row r="213" spans="1:9">
      <c r="A213" s="4" t="s">
        <v>129</v>
      </c>
      <c r="B213" s="4" t="s">
        <v>128</v>
      </c>
      <c r="C213" s="5">
        <v>-327.29308099999997</v>
      </c>
      <c r="D213" s="5">
        <v>-327.16643800000003</v>
      </c>
      <c r="E213" s="6">
        <f>G213/SUM($G$213:$G$213)</f>
        <v>1</v>
      </c>
      <c r="F213" s="6">
        <f>(D213-MIN($D$213:$D$213))*2625.5</f>
        <v>0</v>
      </c>
      <c r="G213" s="6">
        <f>EXP(-F213*1000/(8.31*298.15))</f>
        <v>1</v>
      </c>
      <c r="H213" s="5">
        <f>D213*E213</f>
        <v>-327.16643800000003</v>
      </c>
      <c r="I213" s="7"/>
    </row>
    <row r="214" spans="1:9">
      <c r="A214" s="4"/>
      <c r="C214" s="5" t="s">
        <v>219</v>
      </c>
      <c r="D214" s="5">
        <f>SUMPRODUCT($D$213:$D$213,$E$213:$E$213)</f>
        <v>-327.16643800000003</v>
      </c>
      <c r="E214" s="6">
        <f>SUM($E$213:$E$213)</f>
        <v>1</v>
      </c>
      <c r="F214" s="6"/>
      <c r="G214" s="6"/>
      <c r="H214" s="5"/>
      <c r="I214" s="7"/>
    </row>
    <row r="215" spans="1:9">
      <c r="A215" s="4"/>
      <c r="B215" s="4"/>
      <c r="C215" s="5"/>
      <c r="D215" s="5"/>
      <c r="E215" s="6"/>
      <c r="F215" s="6"/>
      <c r="G215" s="6"/>
      <c r="H215" s="5"/>
      <c r="I215" s="7"/>
    </row>
    <row r="216" spans="1:9">
      <c r="A216" s="4" t="s">
        <v>133</v>
      </c>
      <c r="B216" s="4" t="s">
        <v>130</v>
      </c>
      <c r="C216" s="5">
        <v>-894.10596699999996</v>
      </c>
      <c r="D216" s="5">
        <v>-893.98646599999995</v>
      </c>
      <c r="E216" s="6">
        <f>G216/SUM($G$216:$G$218)</f>
        <v>0.43855965216374732</v>
      </c>
      <c r="F216" s="6">
        <f>(D216-MIN($D$216:$D$218))*2625.5</f>
        <v>0</v>
      </c>
      <c r="G216" s="6">
        <f>EXP(-F216*1000/(8.31*298.15))</f>
        <v>1</v>
      </c>
      <c r="H216" s="5">
        <f>D216*E216</f>
        <v>-392.06639356805772</v>
      </c>
      <c r="I216" s="7"/>
    </row>
    <row r="217" spans="1:9">
      <c r="A217" s="4"/>
      <c r="B217" s="4" t="s">
        <v>131</v>
      </c>
      <c r="C217" s="5">
        <v>-894.10614699999996</v>
      </c>
      <c r="D217" s="5">
        <v>-893.98615299999994</v>
      </c>
      <c r="E217" s="6">
        <f>G217/SUM($G$216:$G$218)</f>
        <v>0.31476140077816123</v>
      </c>
      <c r="F217" s="6">
        <f>(D217-MIN($D$216:$D$218))*2625.5</f>
        <v>0.82178150001459471</v>
      </c>
      <c r="G217" s="6">
        <f>EXP(-F217*1000/(8.31*298.15))</f>
        <v>0.71771627696529894</v>
      </c>
      <c r="H217" s="5">
        <f>D217*E217</f>
        <v>-281.39233379455953</v>
      </c>
      <c r="I217" s="7"/>
    </row>
    <row r="218" spans="1:9">
      <c r="A218" s="4"/>
      <c r="B218" s="4" t="s">
        <v>132</v>
      </c>
      <c r="C218" s="5">
        <v>-894.10618299999999</v>
      </c>
      <c r="D218" s="5">
        <v>-893.98592299999996</v>
      </c>
      <c r="E218" s="6">
        <f>G218/SUM($G$216:$G$218)</f>
        <v>0.24667894705809146</v>
      </c>
      <c r="F218" s="6">
        <f>(D218-MIN($D$216:$D$218))*2625.5</f>
        <v>1.4256464999824061</v>
      </c>
      <c r="G218" s="6">
        <f>EXP(-F218*1000/(8.31*298.15))</f>
        <v>0.56247524331305254</v>
      </c>
      <c r="H218" s="5">
        <f>D218*E218</f>
        <v>-220.52750617039601</v>
      </c>
      <c r="I218" s="7"/>
    </row>
    <row r="219" spans="1:9">
      <c r="A219" s="4"/>
      <c r="C219" s="5" t="s">
        <v>219</v>
      </c>
      <c r="D219" s="5">
        <f>SUMPRODUCT($D$216:$D$218,$E$216:$E$218)</f>
        <v>-893.98623353301332</v>
      </c>
      <c r="E219" s="6">
        <f>SUM($E$216:$E$218)</f>
        <v>1</v>
      </c>
      <c r="F219" s="6"/>
      <c r="G219" s="6"/>
      <c r="H219" s="5"/>
      <c r="I219" s="7">
        <f>2625.5*((D214+$D$6)-(D219+$D$3))</f>
        <v>19.477358426327271</v>
      </c>
    </row>
    <row r="220" spans="1:9">
      <c r="A220" s="4"/>
      <c r="B220" s="4"/>
      <c r="C220" s="5"/>
      <c r="D220" s="5"/>
      <c r="E220" s="6"/>
      <c r="F220" s="6"/>
      <c r="G220" s="6"/>
      <c r="H220" s="5"/>
      <c r="I220" s="7"/>
    </row>
    <row r="221" spans="1:9">
      <c r="A221" s="4" t="s">
        <v>135</v>
      </c>
      <c r="B221" s="4" t="s">
        <v>134</v>
      </c>
      <c r="C221" s="5">
        <v>-287.98720100000003</v>
      </c>
      <c r="D221" s="5">
        <v>-287.88441</v>
      </c>
      <c r="E221" s="6">
        <f>G221/SUM($G$221:$G$221)</f>
        <v>1</v>
      </c>
      <c r="F221" s="6">
        <f>(D221-MIN($D$221:$D$221))*2625.5</f>
        <v>0</v>
      </c>
      <c r="G221" s="6">
        <f>EXP(-F221*1000/(8.31*298.15))</f>
        <v>1</v>
      </c>
      <c r="H221" s="5">
        <f>D221*E221</f>
        <v>-287.88441</v>
      </c>
      <c r="I221" s="7"/>
    </row>
    <row r="222" spans="1:9">
      <c r="A222" s="4"/>
      <c r="C222" s="5" t="s">
        <v>219</v>
      </c>
      <c r="D222" s="5">
        <f>SUMPRODUCT($D$221:$D$221,$E$221:$E$221)</f>
        <v>-287.88441</v>
      </c>
      <c r="E222" s="6">
        <f>SUM($E$221:$E$221)</f>
        <v>1</v>
      </c>
      <c r="F222" s="6"/>
      <c r="G222" s="6"/>
      <c r="H222" s="5"/>
      <c r="I222" s="7"/>
    </row>
    <row r="223" spans="1:9">
      <c r="A223" s="4"/>
      <c r="B223" s="4"/>
      <c r="C223" s="5"/>
      <c r="D223" s="5"/>
      <c r="E223" s="6"/>
      <c r="F223" s="6"/>
      <c r="G223" s="6"/>
      <c r="H223" s="5"/>
      <c r="I223" s="7"/>
    </row>
    <row r="224" spans="1:9">
      <c r="A224" s="4" t="s">
        <v>139</v>
      </c>
      <c r="B224" s="4" t="s">
        <v>136</v>
      </c>
      <c r="C224" s="5">
        <v>-854.80066799999997</v>
      </c>
      <c r="D224" s="5">
        <v>-854.70533499999999</v>
      </c>
      <c r="E224" s="6">
        <f>G224/SUM($G$224:$G$226)</f>
        <v>0.40296282657827287</v>
      </c>
      <c r="F224" s="6">
        <f>(D224-MIN($D$224:$D$226))*2625.5</f>
        <v>0</v>
      </c>
      <c r="G224" s="6">
        <f>EXP(-F224*1000/(8.31*298.15))</f>
        <v>1</v>
      </c>
      <c r="H224" s="5">
        <f>D224*E224</f>
        <v>-344.41447768312963</v>
      </c>
      <c r="I224" s="7"/>
    </row>
    <row r="225" spans="1:9">
      <c r="A225" s="4"/>
      <c r="B225" s="4" t="s">
        <v>137</v>
      </c>
      <c r="C225" s="5">
        <v>-854.80070599999999</v>
      </c>
      <c r="D225" s="5">
        <v>-854.70527100000004</v>
      </c>
      <c r="E225" s="6">
        <f>G225/SUM($G$224:$G$226)</f>
        <v>0.37654010794270604</v>
      </c>
      <c r="F225" s="6">
        <f>(D225-MIN($D$224:$D$226))*2625.5</f>
        <v>0.16803199987424478</v>
      </c>
      <c r="G225" s="6">
        <f>EXP(-F225*1000/(8.31*298.15))</f>
        <v>0.93442889295786091</v>
      </c>
      <c r="H225" s="5">
        <f>D225*E225</f>
        <v>-321.8308150015398</v>
      </c>
      <c r="I225" s="7"/>
    </row>
    <row r="226" spans="1:9">
      <c r="A226" s="4"/>
      <c r="B226" s="4" t="s">
        <v>138</v>
      </c>
      <c r="C226" s="5">
        <v>-854.80069200000003</v>
      </c>
      <c r="D226" s="5">
        <v>-854.70476599999995</v>
      </c>
      <c r="E226" s="6">
        <f>G226/SUM($G$224:$G$226)</f>
        <v>0.22049706547902101</v>
      </c>
      <c r="F226" s="6">
        <f>(D226-MIN($D$224:$D$226))*2625.5</f>
        <v>1.4939095001085434</v>
      </c>
      <c r="G226" s="6">
        <f>EXP(-F226*1000/(8.31*298.15))</f>
        <v>0.54718959401628797</v>
      </c>
      <c r="H226" s="5">
        <f>D226*E226</f>
        <v>-188.45989275393333</v>
      </c>
      <c r="I226" s="7"/>
    </row>
    <row r="227" spans="1:9">
      <c r="A227" s="4"/>
      <c r="C227" s="5" t="s">
        <v>219</v>
      </c>
      <c r="D227" s="5">
        <f>SUMPRODUCT($D$224:$D$226,$E$224:$E$226)</f>
        <v>-854.70518543860283</v>
      </c>
      <c r="E227" s="6">
        <f>SUM($E$224:$E$226)</f>
        <v>1</v>
      </c>
      <c r="F227" s="6"/>
      <c r="G227" s="6"/>
      <c r="H227" s="5"/>
      <c r="I227" s="7">
        <f>2625.5*((D222+$D$6)-(D227+$D$3))</f>
        <v>22.050100551791274</v>
      </c>
    </row>
    <row r="228" spans="1:9">
      <c r="A228" s="4"/>
      <c r="B228" s="4"/>
      <c r="C228" s="5"/>
      <c r="D228" s="5"/>
      <c r="E228" s="6"/>
      <c r="F228" s="6"/>
      <c r="G228" s="6"/>
      <c r="H228" s="5"/>
      <c r="I228" s="7"/>
    </row>
    <row r="229" spans="1:9">
      <c r="A229" s="4" t="s">
        <v>141</v>
      </c>
      <c r="B229" s="4" t="s">
        <v>140</v>
      </c>
      <c r="C229" s="5">
        <v>-248.681073</v>
      </c>
      <c r="D229" s="5">
        <v>-248.602473</v>
      </c>
      <c r="E229" s="6">
        <f>G229/SUM($G$229:$G$229)</f>
        <v>1</v>
      </c>
      <c r="F229" s="6">
        <f>(D229-MIN($D$229:$D$229))*2625.5</f>
        <v>0</v>
      </c>
      <c r="G229" s="6">
        <f>EXP(-F229*1000/(8.31*298.15))</f>
        <v>1</v>
      </c>
      <c r="H229" s="5">
        <f>D229*E229</f>
        <v>-248.602473</v>
      </c>
      <c r="I229" s="7"/>
    </row>
    <row r="230" spans="1:9">
      <c r="A230" s="4"/>
      <c r="C230" s="5" t="s">
        <v>219</v>
      </c>
      <c r="D230" s="5">
        <f>SUMPRODUCT($D$229:$D$229,$E$229:$E$229)</f>
        <v>-248.602473</v>
      </c>
      <c r="E230" s="6">
        <f>SUM($E$229:$E$229)</f>
        <v>1</v>
      </c>
      <c r="F230" s="6"/>
      <c r="G230" s="6"/>
      <c r="H230" s="5"/>
      <c r="I230" s="7"/>
    </row>
    <row r="231" spans="1:9">
      <c r="A231" s="4"/>
      <c r="B231" s="4"/>
      <c r="C231" s="5"/>
      <c r="D231" s="5"/>
      <c r="E231" s="6"/>
      <c r="F231" s="6"/>
      <c r="G231" s="6"/>
      <c r="H231" s="5"/>
      <c r="I231" s="7"/>
    </row>
    <row r="232" spans="1:9">
      <c r="A232" s="4" t="s">
        <v>143</v>
      </c>
      <c r="B232" s="4" t="s">
        <v>142</v>
      </c>
      <c r="C232" s="5">
        <v>-815.49504999999999</v>
      </c>
      <c r="D232" s="5">
        <v>-815.42453899999998</v>
      </c>
      <c r="E232" s="6">
        <f>G232/SUM($G$232:$G$232)</f>
        <v>1</v>
      </c>
      <c r="F232" s="6">
        <f>(D232-MIN($D$232:$D$232))*2625.5</f>
        <v>0</v>
      </c>
      <c r="G232" s="6">
        <f>EXP(-F232*1000/(8.31*298.15))</f>
        <v>1</v>
      </c>
      <c r="H232" s="5">
        <f>D232*E232</f>
        <v>-815.42453899999998</v>
      </c>
      <c r="I232" s="7"/>
    </row>
    <row r="233" spans="1:9">
      <c r="A233" s="4"/>
      <c r="C233" s="5" t="s">
        <v>219</v>
      </c>
      <c r="D233" s="5">
        <f>SUMPRODUCT($D$232:$D$232,$E$232:$E$232)</f>
        <v>-815.42453899999998</v>
      </c>
      <c r="E233" s="6">
        <f>SUM($E$232:$E$232)</f>
        <v>1</v>
      </c>
      <c r="F233" s="6"/>
      <c r="G233" s="6"/>
      <c r="H233" s="5"/>
      <c r="I233" s="7">
        <f>2625.5*((D230+$D$6)-(D233+$D$3))</f>
        <v>25.438469499948269</v>
      </c>
    </row>
    <row r="234" spans="1:9">
      <c r="A234" s="4"/>
      <c r="B234" s="4"/>
      <c r="C234" s="5"/>
      <c r="D234" s="5"/>
      <c r="E234" s="6"/>
      <c r="F234" s="6"/>
      <c r="G234" s="6"/>
      <c r="H234" s="5"/>
      <c r="I234" s="7"/>
    </row>
    <row r="235" spans="1:9">
      <c r="A235" s="4" t="s">
        <v>155</v>
      </c>
      <c r="B235" s="4" t="s">
        <v>153</v>
      </c>
      <c r="C235" s="5">
        <v>-363.18671399999999</v>
      </c>
      <c r="D235" s="5">
        <v>-363.08025199999997</v>
      </c>
      <c r="E235" s="6">
        <f>G235/SUM($G$235:$G$236)</f>
        <v>0.50238426986833462</v>
      </c>
      <c r="F235" s="6">
        <f>(D235-MIN($D$235:$D$236))*2625.5</f>
        <v>0</v>
      </c>
      <c r="G235" s="6">
        <f>EXP(-F235*1000/(8.31*298.15))</f>
        <v>1</v>
      </c>
      <c r="H235" s="5">
        <f>D235*E235</f>
        <v>-182.40580730463094</v>
      </c>
      <c r="I235" s="7"/>
    </row>
    <row r="236" spans="1:9">
      <c r="A236" s="4"/>
      <c r="B236" s="4" t="s">
        <v>154</v>
      </c>
      <c r="C236" s="5">
        <v>-363.18682100000001</v>
      </c>
      <c r="D236" s="5">
        <v>-363.080243</v>
      </c>
      <c r="E236" s="6">
        <f>G236/SUM($G$235:$G$236)</f>
        <v>0.49761573013166543</v>
      </c>
      <c r="F236" s="6">
        <f>(D236-MIN($D$235:$D$236))*2625.5</f>
        <v>2.3629499940341248E-2</v>
      </c>
      <c r="G236" s="6">
        <f>EXP(-F236*1000/(8.31*298.15))</f>
        <v>0.99050818263494023</v>
      </c>
      <c r="H236" s="5">
        <f>D236*E236</f>
        <v>-180.67444021682752</v>
      </c>
      <c r="I236" s="7"/>
    </row>
    <row r="237" spans="1:9">
      <c r="A237" s="4"/>
      <c r="C237" s="5" t="s">
        <v>219</v>
      </c>
      <c r="D237" s="5">
        <f>SUMPRODUCT($D$235:$D$236,$E$235:$E$236)</f>
        <v>-363.08024752145843</v>
      </c>
      <c r="E237" s="6">
        <f>SUM($E$235:$E$236)</f>
        <v>1</v>
      </c>
      <c r="F237" s="6"/>
      <c r="G237" s="6"/>
      <c r="H237" s="5"/>
      <c r="I237" s="7"/>
    </row>
    <row r="238" spans="1:9">
      <c r="A238" s="4"/>
      <c r="B238" s="4"/>
      <c r="C238" s="5"/>
      <c r="D238" s="5"/>
      <c r="E238" s="6"/>
      <c r="F238" s="6"/>
      <c r="G238" s="6"/>
      <c r="H238" s="5"/>
      <c r="I238" s="7"/>
    </row>
    <row r="239" spans="1:9">
      <c r="A239" s="4" t="s">
        <v>159</v>
      </c>
      <c r="B239" s="4" t="s">
        <v>156</v>
      </c>
      <c r="C239" s="5">
        <v>-930.00099899999998</v>
      </c>
      <c r="D239" s="5">
        <v>-929.90146800000002</v>
      </c>
      <c r="E239" s="6">
        <f>G239/SUM($G$239:$G$241)</f>
        <v>0.37230333713448188</v>
      </c>
      <c r="F239" s="6">
        <f>(D239-MIN($D$239:$D$241))*2625.5</f>
        <v>0</v>
      </c>
      <c r="G239" s="6">
        <f>EXP(-F239*1000/(8.31*298.15))</f>
        <v>1</v>
      </c>
      <c r="H239" s="5">
        <f>D239*E239</f>
        <v>-346.20541974265365</v>
      </c>
      <c r="I239" s="7"/>
    </row>
    <row r="240" spans="1:9">
      <c r="A240" s="4"/>
      <c r="B240" s="4" t="s">
        <v>157</v>
      </c>
      <c r="C240" s="5">
        <v>-930.00116800000001</v>
      </c>
      <c r="D240" s="5">
        <v>-929.90142400000002</v>
      </c>
      <c r="E240" s="6">
        <f>G240/SUM($G$239:$G$241)</f>
        <v>0.35534276860392899</v>
      </c>
      <c r="F240" s="6">
        <f>(D240-MIN($D$239:$D$241))*2625.5</f>
        <v>0.11552200000681978</v>
      </c>
      <c r="G240" s="6">
        <f>EXP(-F240*1000/(8.31*298.15))</f>
        <v>0.95444422104541471</v>
      </c>
      <c r="H240" s="5">
        <f>D240*E240</f>
        <v>-330.43374653289607</v>
      </c>
      <c r="I240" s="7"/>
    </row>
    <row r="241" spans="1:9">
      <c r="A241" s="4"/>
      <c r="B241" s="4" t="s">
        <v>158</v>
      </c>
      <c r="C241" s="5">
        <v>-930.00133100000005</v>
      </c>
      <c r="D241" s="5">
        <v>-929.90117299999997</v>
      </c>
      <c r="E241" s="6">
        <f>G241/SUM($G$239:$G$241)</f>
        <v>0.27235389426158907</v>
      </c>
      <c r="F241" s="6">
        <f>(D241-MIN($D$239:$D$241))*2625.5</f>
        <v>0.77452250013391222</v>
      </c>
      <c r="G241" s="6">
        <f>EXP(-F241*1000/(8.31*298.15))</f>
        <v>0.73153761220037228</v>
      </c>
      <c r="H241" s="5">
        <f>D241*E241</f>
        <v>-253.26220574496963</v>
      </c>
      <c r="I241" s="7"/>
    </row>
    <row r="242" spans="1:9">
      <c r="A242" s="4"/>
      <c r="C242" s="5" t="s">
        <v>219</v>
      </c>
      <c r="D242" s="5">
        <f>SUMPRODUCT($D$239:$D$241,$E$239:$E$241)</f>
        <v>-929.90137202051937</v>
      </c>
      <c r="E242" s="6">
        <f>SUM($E$239:$E$241)</f>
        <v>1</v>
      </c>
      <c r="F242" s="6"/>
      <c r="G242" s="6"/>
      <c r="H242" s="5"/>
      <c r="I242" s="7">
        <f>2625.5*((D237+$D$6)-(D242+$D$3))</f>
        <v>22.966558784585914</v>
      </c>
    </row>
    <row r="243" spans="1:9">
      <c r="A243" s="4"/>
      <c r="B243" s="4"/>
      <c r="C243" s="5"/>
      <c r="D243" s="5"/>
      <c r="E243" s="6"/>
      <c r="F243" s="6"/>
      <c r="G243" s="6"/>
      <c r="H243" s="5"/>
      <c r="I243" s="7"/>
    </row>
    <row r="244" spans="1:9">
      <c r="A244" s="4" t="s">
        <v>161</v>
      </c>
      <c r="B244" s="4" t="s">
        <v>160</v>
      </c>
      <c r="C244" s="5">
        <v>-402.29362099999997</v>
      </c>
      <c r="D244" s="5">
        <v>-402.17295300000001</v>
      </c>
      <c r="E244" s="6">
        <f>G244/SUM($G$244:$G$244)</f>
        <v>1</v>
      </c>
      <c r="F244" s="6">
        <f>(D244-MIN($D$244:$D$244))*2625.5</f>
        <v>0</v>
      </c>
      <c r="G244" s="6">
        <f>EXP(-F244*1000/(8.31*298.15))</f>
        <v>1</v>
      </c>
      <c r="H244" s="5">
        <f>D244*E244</f>
        <v>-402.17295300000001</v>
      </c>
      <c r="I244" s="7"/>
    </row>
    <row r="245" spans="1:9">
      <c r="A245" s="4"/>
      <c r="C245" s="5" t="s">
        <v>219</v>
      </c>
      <c r="D245" s="5">
        <f>SUMPRODUCT($D$244:$D$244,$E$244:$E$244)</f>
        <v>-402.17295300000001</v>
      </c>
      <c r="E245" s="6">
        <f>SUM($E$244:$E$244)</f>
        <v>1</v>
      </c>
      <c r="F245" s="6"/>
      <c r="G245" s="6"/>
      <c r="H245" s="5"/>
      <c r="I245" s="7"/>
    </row>
    <row r="246" spans="1:9">
      <c r="A246" s="4"/>
      <c r="B246" s="4"/>
      <c r="C246" s="5"/>
      <c r="D246" s="5"/>
      <c r="E246" s="6"/>
      <c r="F246" s="6"/>
      <c r="G246" s="6"/>
      <c r="H246" s="5"/>
      <c r="I246" s="7"/>
    </row>
    <row r="247" spans="1:9">
      <c r="A247" s="4" t="s">
        <v>163</v>
      </c>
      <c r="B247" s="4" t="s">
        <v>162</v>
      </c>
      <c r="C247" s="5">
        <v>-969.10802200000001</v>
      </c>
      <c r="D247" s="5">
        <v>-968.99409000000003</v>
      </c>
      <c r="E247" s="6">
        <f>G247/SUM($G$247:$G$247)</f>
        <v>1</v>
      </c>
      <c r="F247" s="6">
        <f>(D247-MIN($D$247:$D$247))*2625.5</f>
        <v>0</v>
      </c>
      <c r="G247" s="6">
        <f>EXP(-F247*1000/(8.31*298.15))</f>
        <v>1</v>
      </c>
      <c r="H247" s="5">
        <f>D247*E247</f>
        <v>-968.99409000000003</v>
      </c>
      <c r="I247" s="7"/>
    </row>
    <row r="248" spans="1:9">
      <c r="A248" s="4"/>
      <c r="C248" s="5" t="s">
        <v>219</v>
      </c>
      <c r="D248" s="5">
        <f>SUMPRODUCT($D$247:$D$247,$E$247:$E$247)</f>
        <v>-968.99409000000003</v>
      </c>
      <c r="E248" s="6">
        <f>SUM($E$247:$E$247)</f>
        <v>1</v>
      </c>
      <c r="F248" s="6"/>
      <c r="G248" s="6"/>
      <c r="H248" s="5"/>
      <c r="I248" s="7">
        <f>2625.5*((D245+$D$6)-(D248+$D$3))</f>
        <v>22.999379999838197</v>
      </c>
    </row>
    <row r="249" spans="1:9">
      <c r="A249" s="4"/>
      <c r="B249" s="4"/>
      <c r="C249" s="5"/>
      <c r="D249" s="5"/>
      <c r="E249" s="6"/>
      <c r="F249" s="6"/>
      <c r="G249" s="6"/>
      <c r="H249" s="5"/>
      <c r="I249" s="7"/>
    </row>
    <row r="250" spans="1:9">
      <c r="A250" s="4" t="s">
        <v>165</v>
      </c>
      <c r="B250" s="4" t="s">
        <v>164</v>
      </c>
      <c r="C250" s="5">
        <v>-265.92782199999999</v>
      </c>
      <c r="D250" s="5">
        <v>-265.84161</v>
      </c>
      <c r="E250" s="6">
        <f>G250/SUM($G$250:$G$250)</f>
        <v>1</v>
      </c>
      <c r="F250" s="6">
        <f>(D250-MIN($D$250:$D$250))*2625.5</f>
        <v>0</v>
      </c>
      <c r="G250" s="6">
        <f>EXP(-F250*1000/(8.31*298.15))</f>
        <v>1</v>
      </c>
      <c r="H250" s="5">
        <f>D250*E250</f>
        <v>-265.84161</v>
      </c>
      <c r="I250" s="7"/>
    </row>
    <row r="251" spans="1:9">
      <c r="A251" s="4"/>
      <c r="C251" s="5" t="s">
        <v>219</v>
      </c>
      <c r="D251" s="5">
        <f>SUMPRODUCT($D$250:$D$250,$E$250:$E$250)</f>
        <v>-265.84161</v>
      </c>
      <c r="E251" s="6">
        <f>SUM($E$250:$E$250)</f>
        <v>1</v>
      </c>
      <c r="F251" s="6"/>
      <c r="G251" s="6"/>
      <c r="H251" s="5"/>
      <c r="I251" s="7"/>
    </row>
    <row r="252" spans="1:9">
      <c r="A252" s="4"/>
      <c r="B252" s="4"/>
      <c r="C252" s="5"/>
      <c r="D252" s="5"/>
      <c r="E252" s="6"/>
      <c r="F252" s="6"/>
      <c r="G252" s="6"/>
      <c r="H252" s="5"/>
      <c r="I252" s="7"/>
    </row>
    <row r="253" spans="1:9">
      <c r="A253" s="4" t="s">
        <v>169</v>
      </c>
      <c r="B253" s="4" t="s">
        <v>166</v>
      </c>
      <c r="C253" s="5">
        <v>-832.74163699999997</v>
      </c>
      <c r="D253" s="5">
        <v>-832.66329700000006</v>
      </c>
      <c r="E253" s="6">
        <f>G253/SUM($G$253:$G$255)</f>
        <v>0.52222392120366523</v>
      </c>
      <c r="F253" s="6">
        <f>(D253-MIN($D$253:$D$255))*2625.5</f>
        <v>0</v>
      </c>
      <c r="G253" s="6">
        <f>EXP(-F253*1000/(8.31*298.15))</f>
        <v>1</v>
      </c>
      <c r="H253" s="5">
        <f>D253*E253</f>
        <v>-434.83669200171215</v>
      </c>
      <c r="I253" s="7"/>
    </row>
    <row r="254" spans="1:9">
      <c r="A254" s="4"/>
      <c r="B254" s="4" t="s">
        <v>167</v>
      </c>
      <c r="C254" s="5">
        <v>-832.74175500000001</v>
      </c>
      <c r="D254" s="5">
        <v>-832.66265499999997</v>
      </c>
      <c r="E254" s="6">
        <f>G254/SUM($G$253:$G$255)</f>
        <v>0.26448370331401128</v>
      </c>
      <c r="F254" s="6">
        <f>(D254-MIN($D$253:$D$255))*2625.5</f>
        <v>1.6855710002216142</v>
      </c>
      <c r="G254" s="6">
        <f>EXP(-F254*1000/(8.31*298.15))</f>
        <v>0.50645650759238903</v>
      </c>
      <c r="H254" s="5">
        <f>D254*E254</f>
        <v>-220.22570260567693</v>
      </c>
      <c r="I254" s="7"/>
    </row>
    <row r="255" spans="1:9">
      <c r="A255" s="4"/>
      <c r="B255" s="4" t="s">
        <v>168</v>
      </c>
      <c r="C255" s="5">
        <v>-832.74172999999996</v>
      </c>
      <c r="D255" s="5">
        <v>-832.66245200000003</v>
      </c>
      <c r="E255" s="6">
        <f>G255/SUM($G$253:$G$255)</f>
        <v>0.21329237548232344</v>
      </c>
      <c r="F255" s="6">
        <f>(D255-MIN($D$253:$D$255))*2625.5</f>
        <v>2.2185475000699171</v>
      </c>
      <c r="G255" s="6">
        <f>EXP(-F255*1000/(8.31*298.15))</f>
        <v>0.40843087959415836</v>
      </c>
      <c r="H255" s="5">
        <f>D255*E255</f>
        <v>-177.60055236201612</v>
      </c>
      <c r="I255" s="7"/>
    </row>
    <row r="256" spans="1:9">
      <c r="A256" s="4"/>
      <c r="C256" s="5" t="s">
        <v>219</v>
      </c>
      <c r="D256" s="5">
        <f>SUMPRODUCT($D$253:$D$255,$E$253:$E$255)</f>
        <v>-832.66294696940508</v>
      </c>
      <c r="E256" s="6">
        <f>SUM($E$253:$E$255)</f>
        <v>1</v>
      </c>
      <c r="F256" s="6"/>
      <c r="G256" s="6"/>
      <c r="H256" s="5"/>
      <c r="I256" s="7">
        <f>2625.5*((D251+$D$6)-(D256+$D$3))</f>
        <v>23.524399672971469</v>
      </c>
    </row>
    <row r="257" spans="1:9">
      <c r="A257" s="4"/>
      <c r="B257" s="4"/>
      <c r="C257" s="5"/>
      <c r="D257" s="5"/>
      <c r="E257" s="6"/>
      <c r="F257" s="6"/>
      <c r="G257" s="6"/>
      <c r="H257" s="5"/>
      <c r="I257" s="7"/>
    </row>
    <row r="258" spans="1:9">
      <c r="A258" s="4" t="s">
        <v>172</v>
      </c>
      <c r="B258" s="4" t="s">
        <v>170</v>
      </c>
      <c r="C258" s="5">
        <v>-509.41169200000002</v>
      </c>
      <c r="D258" s="5">
        <v>-509.31186400000001</v>
      </c>
      <c r="E258" s="6">
        <f>G258/SUM($G$258:$G$259)</f>
        <v>0.56402239928706888</v>
      </c>
      <c r="F258" s="6">
        <f>(D258-MIN($D$258:$D$259))*2625.5</f>
        <v>0</v>
      </c>
      <c r="G258" s="6">
        <f>EXP(-F258*1000/(8.31*298.15))</f>
        <v>1</v>
      </c>
      <c r="H258" s="5">
        <f>D258*E258</f>
        <v>-287.26329951864932</v>
      </c>
      <c r="I258" s="7"/>
    </row>
    <row r="259" spans="1:9">
      <c r="A259" s="4"/>
      <c r="B259" s="4" t="s">
        <v>171</v>
      </c>
      <c r="C259" s="5">
        <v>-509.41170799999998</v>
      </c>
      <c r="D259" s="5">
        <v>-509.311621</v>
      </c>
      <c r="E259" s="6">
        <f>G259/SUM($G$258:$G$259)</f>
        <v>0.43597760071293107</v>
      </c>
      <c r="F259" s="6">
        <f>(D259-MIN($D$258:$D$259))*2625.5</f>
        <v>0.63799650003088004</v>
      </c>
      <c r="G259" s="6">
        <f>EXP(-F259*1000/(8.31*298.15))</f>
        <v>0.77297923143480129</v>
      </c>
      <c r="H259" s="5">
        <f>D259*E259</f>
        <v>-222.04845853879368</v>
      </c>
      <c r="I259" s="7"/>
    </row>
    <row r="260" spans="1:9">
      <c r="A260" s="4"/>
      <c r="C260" s="5" t="s">
        <v>219</v>
      </c>
      <c r="D260" s="5">
        <f>SUMPRODUCT($D$258:$D$259,$E$258:$E$259)</f>
        <v>-509.311758057443</v>
      </c>
      <c r="E260" s="6">
        <f>SUM($E$258:$E$259)</f>
        <v>1</v>
      </c>
      <c r="F260" s="6"/>
      <c r="G260" s="6"/>
      <c r="H260" s="5"/>
      <c r="I260" s="7"/>
    </row>
    <row r="261" spans="1:9">
      <c r="A261" s="4"/>
      <c r="B261" s="4"/>
      <c r="C261" s="5"/>
      <c r="D261" s="5"/>
      <c r="E261" s="6"/>
      <c r="F261" s="6"/>
      <c r="G261" s="6"/>
      <c r="H261" s="5"/>
      <c r="I261" s="7"/>
    </row>
    <row r="262" spans="1:9">
      <c r="A262" s="4" t="s">
        <v>185</v>
      </c>
      <c r="B262" s="4" t="s">
        <v>173</v>
      </c>
      <c r="C262" s="5">
        <v>-1076.2188860000001</v>
      </c>
      <c r="D262" s="5">
        <v>-1076.1252950000001</v>
      </c>
      <c r="E262" s="6">
        <f t="shared" ref="E262:E273" si="8">G262/SUM($G$262:$G$273)</f>
        <v>0.18524331434920108</v>
      </c>
      <c r="F262" s="6">
        <f t="shared" ref="F262:F273" si="9">(D262-MIN($D$262:$D$273))*2625.5</f>
        <v>0</v>
      </c>
      <c r="G262" s="6">
        <f t="shared" ref="G262:G273" si="10">EXP(-F262*1000/(8.31*298.15))</f>
        <v>1</v>
      </c>
      <c r="H262" s="5">
        <f t="shared" ref="H262:H273" si="11">D262*E262</f>
        <v>-199.34501630081175</v>
      </c>
      <c r="I262" s="7"/>
    </row>
    <row r="263" spans="1:9">
      <c r="A263" s="4"/>
      <c r="B263" s="4" t="s">
        <v>174</v>
      </c>
      <c r="C263" s="5">
        <v>-1076.218885</v>
      </c>
      <c r="D263" s="5">
        <v>-1076.1252340000001</v>
      </c>
      <c r="E263" s="6">
        <f t="shared" si="8"/>
        <v>0.1736478639540322</v>
      </c>
      <c r="F263" s="6">
        <f t="shared" si="9"/>
        <v>0.16015549989413103</v>
      </c>
      <c r="G263" s="6">
        <f t="shared" si="10"/>
        <v>0.93740421652513539</v>
      </c>
      <c r="H263" s="5">
        <f t="shared" si="11"/>
        <v>-186.86684823113308</v>
      </c>
      <c r="I263" s="7"/>
    </row>
    <row r="264" spans="1:9">
      <c r="A264" s="4"/>
      <c r="B264" s="4" t="s">
        <v>175</v>
      </c>
      <c r="C264" s="5">
        <v>-1076.218869</v>
      </c>
      <c r="D264" s="5">
        <v>-1076.125198</v>
      </c>
      <c r="E264" s="6">
        <f t="shared" si="8"/>
        <v>0.16714820449930845</v>
      </c>
      <c r="F264" s="6">
        <f t="shared" si="9"/>
        <v>0.2546735002524656</v>
      </c>
      <c r="G264" s="6">
        <f t="shared" si="10"/>
        <v>0.90231706923694077</v>
      </c>
      <c r="H264" s="5">
        <f t="shared" si="11"/>
        <v>-179.87239466216278</v>
      </c>
      <c r="I264" s="7"/>
    </row>
    <row r="265" spans="1:9">
      <c r="A265" s="4"/>
      <c r="B265" s="4" t="s">
        <v>176</v>
      </c>
      <c r="C265" s="5">
        <v>-1076.217795</v>
      </c>
      <c r="D265" s="5">
        <v>-1076.1245260000001</v>
      </c>
      <c r="E265" s="6">
        <f t="shared" si="8"/>
        <v>8.2004451936388001E-2</v>
      </c>
      <c r="F265" s="6">
        <f t="shared" si="9"/>
        <v>2.0190094999767325</v>
      </c>
      <c r="G265" s="6">
        <f t="shared" si="10"/>
        <v>0.44268508272207813</v>
      </c>
      <c r="H265" s="5">
        <f t="shared" si="11"/>
        <v>-88.247001969935326</v>
      </c>
      <c r="I265" s="7"/>
    </row>
    <row r="266" spans="1:9">
      <c r="A266" s="4"/>
      <c r="B266" s="4" t="s">
        <v>177</v>
      </c>
      <c r="C266" s="5">
        <v>-1076.2178389999999</v>
      </c>
      <c r="D266" s="5">
        <v>-1076.1244349999999</v>
      </c>
      <c r="E266" s="6">
        <f t="shared" si="8"/>
        <v>7.446597697590035E-2</v>
      </c>
      <c r="F266" s="6">
        <f t="shared" si="9"/>
        <v>2.2579300002689706</v>
      </c>
      <c r="G266" s="6">
        <f t="shared" si="10"/>
        <v>0.40199009199071545</v>
      </c>
      <c r="H266" s="5">
        <f t="shared" si="11"/>
        <v>-80.134657399913763</v>
      </c>
      <c r="I266" s="7"/>
    </row>
    <row r="267" spans="1:9">
      <c r="A267" s="4"/>
      <c r="B267" s="4" t="s">
        <v>178</v>
      </c>
      <c r="C267" s="5">
        <v>-1076.2177959999999</v>
      </c>
      <c r="D267" s="5">
        <v>-1076.124366</v>
      </c>
      <c r="E267" s="6">
        <f t="shared" si="8"/>
        <v>6.9215454772853943E-2</v>
      </c>
      <c r="F267" s="6">
        <f t="shared" si="9"/>
        <v>2.4390895001100716</v>
      </c>
      <c r="G267" s="6">
        <f t="shared" si="10"/>
        <v>0.37364616918036947</v>
      </c>
      <c r="H267" s="5">
        <f t="shared" si="11"/>
        <v>-74.484437384839126</v>
      </c>
      <c r="I267" s="7"/>
    </row>
    <row r="268" spans="1:9">
      <c r="A268" s="4"/>
      <c r="B268" s="4" t="s">
        <v>179</v>
      </c>
      <c r="C268" s="5">
        <v>-1076.2179530000001</v>
      </c>
      <c r="D268" s="5">
        <v>-1076.124116</v>
      </c>
      <c r="E268" s="6">
        <f t="shared" si="8"/>
        <v>5.3106710209199499E-2</v>
      </c>
      <c r="F268" s="6">
        <f t="shared" si="9"/>
        <v>3.0954645002437928</v>
      </c>
      <c r="G268" s="6">
        <f t="shared" si="10"/>
        <v>0.28668624503817913</v>
      </c>
      <c r="H268" s="5">
        <f t="shared" si="11"/>
        <v>-57.149411577542985</v>
      </c>
      <c r="I268" s="7"/>
    </row>
    <row r="269" spans="1:9">
      <c r="A269" s="4"/>
      <c r="B269" s="4" t="s">
        <v>180</v>
      </c>
      <c r="C269" s="5">
        <v>-1076.2179180000001</v>
      </c>
      <c r="D269" s="5">
        <v>-1076.1239740000001</v>
      </c>
      <c r="E269" s="6">
        <f t="shared" si="8"/>
        <v>4.5687659480060115E-2</v>
      </c>
      <c r="F269" s="6">
        <f t="shared" si="9"/>
        <v>3.4682854998994799</v>
      </c>
      <c r="G269" s="6">
        <f t="shared" si="10"/>
        <v>0.24663594279000309</v>
      </c>
      <c r="H269" s="5">
        <f t="shared" si="11"/>
        <v>-49.165585682441069</v>
      </c>
      <c r="I269" s="7"/>
    </row>
    <row r="270" spans="1:9">
      <c r="A270" s="4"/>
      <c r="B270" s="4" t="s">
        <v>181</v>
      </c>
      <c r="C270" s="5">
        <v>-1076.2179779999999</v>
      </c>
      <c r="D270" s="5">
        <v>-1076.1239419999999</v>
      </c>
      <c r="E270" s="6">
        <f t="shared" si="8"/>
        <v>4.4164369982179728E-2</v>
      </c>
      <c r="F270" s="6">
        <f t="shared" si="9"/>
        <v>3.5523015002843294</v>
      </c>
      <c r="G270" s="6">
        <f t="shared" si="10"/>
        <v>0.23841276073761961</v>
      </c>
      <c r="H270" s="5">
        <f t="shared" si="11"/>
        <v>-47.526335921169718</v>
      </c>
      <c r="I270" s="7"/>
    </row>
    <row r="271" spans="1:9">
      <c r="A271" s="4"/>
      <c r="B271" s="4" t="s">
        <v>182</v>
      </c>
      <c r="C271" s="5">
        <v>-1076.2188839999999</v>
      </c>
      <c r="D271" s="5">
        <v>-1076.1238530000001</v>
      </c>
      <c r="E271" s="6">
        <f t="shared" si="8"/>
        <v>4.0189530275247506E-2</v>
      </c>
      <c r="F271" s="6">
        <f t="shared" si="9"/>
        <v>3.7859709999928555</v>
      </c>
      <c r="G271" s="6">
        <f t="shared" si="10"/>
        <v>0.21695536174377913</v>
      </c>
      <c r="H271" s="5">
        <f t="shared" si="11"/>
        <v>-43.248912170059498</v>
      </c>
      <c r="I271" s="7"/>
    </row>
    <row r="272" spans="1:9">
      <c r="A272" s="4"/>
      <c r="B272" s="4" t="s">
        <v>183</v>
      </c>
      <c r="C272" s="5">
        <v>-1076.217954</v>
      </c>
      <c r="D272" s="5">
        <v>-1076.123769</v>
      </c>
      <c r="E272" s="6">
        <f t="shared" si="8"/>
        <v>3.6766720585441975E-2</v>
      </c>
      <c r="F272" s="6">
        <f t="shared" si="9"/>
        <v>4.00651300003301</v>
      </c>
      <c r="G272" s="6">
        <f t="shared" si="10"/>
        <v>0.19847798941954389</v>
      </c>
      <c r="H272" s="5">
        <f t="shared" si="11"/>
        <v>-39.565541930175705</v>
      </c>
      <c r="I272" s="7"/>
    </row>
    <row r="273" spans="1:9">
      <c r="A273" s="4"/>
      <c r="B273" s="4" t="s">
        <v>184</v>
      </c>
      <c r="C273" s="5">
        <v>-1076.2180410000001</v>
      </c>
      <c r="D273" s="5">
        <v>-1076.1235240000001</v>
      </c>
      <c r="E273" s="6">
        <f t="shared" si="8"/>
        <v>2.8359742980186967E-2</v>
      </c>
      <c r="F273" s="6">
        <f t="shared" si="9"/>
        <v>4.6497604999013902</v>
      </c>
      <c r="G273" s="6">
        <f t="shared" si="10"/>
        <v>0.15309455609677866</v>
      </c>
      <c r="H273" s="5">
        <f t="shared" si="11"/>
        <v>-30.518586555573062</v>
      </c>
      <c r="I273" s="7"/>
    </row>
    <row r="274" spans="1:9">
      <c r="A274" s="4"/>
      <c r="C274" s="5" t="s">
        <v>219</v>
      </c>
      <c r="D274" s="5">
        <f>SUMPRODUCT($D$262:$D$273,$E$262:$E$273)</f>
        <v>-1076.1247297857578</v>
      </c>
      <c r="E274" s="6">
        <f>SUM($E$262:$E$273)</f>
        <v>0.99999999999999989</v>
      </c>
      <c r="F274" s="6"/>
      <c r="G274" s="6"/>
      <c r="H274" s="5"/>
      <c r="I274" s="7">
        <f>2625.5*((D260+$D$6)-(D274+$D$3))</f>
        <v>1.5614591911277103</v>
      </c>
    </row>
    <row r="275" spans="1:9">
      <c r="A275" s="4"/>
      <c r="B275" s="4"/>
      <c r="C275" s="5"/>
      <c r="D275" s="5"/>
      <c r="E275" s="6"/>
      <c r="F275" s="6"/>
      <c r="G275" s="6"/>
      <c r="H275" s="5"/>
      <c r="I275" s="7"/>
    </row>
    <row r="276" spans="1:9">
      <c r="A276" s="4" t="s">
        <v>187</v>
      </c>
      <c r="B276" s="4" t="s">
        <v>186</v>
      </c>
      <c r="C276" s="5">
        <v>-643.23571800000002</v>
      </c>
      <c r="D276" s="5">
        <v>-643.23667999999998</v>
      </c>
      <c r="E276" s="6">
        <f>G276/SUM($G$276:$G$276)</f>
        <v>1</v>
      </c>
      <c r="F276" s="6">
        <f>(D276-MIN($D$276:$D$276))*2625.5</f>
        <v>0</v>
      </c>
      <c r="G276" s="6">
        <f>EXP(-F276*1000/(8.31*298.15))</f>
        <v>1</v>
      </c>
      <c r="H276" s="5">
        <f>D276*E276</f>
        <v>-643.23667999999998</v>
      </c>
      <c r="I276" s="7"/>
    </row>
    <row r="277" spans="1:9">
      <c r="A277" s="4"/>
      <c r="C277" s="5" t="s">
        <v>219</v>
      </c>
      <c r="D277" s="5">
        <f>SUMPRODUCT($D$276:$D$276,$E$276:$E$276)</f>
        <v>-643.23667999999998</v>
      </c>
      <c r="E277" s="6">
        <f>SUM($E$276:$E$276)</f>
        <v>1</v>
      </c>
      <c r="F277" s="6"/>
      <c r="G277" s="6"/>
      <c r="H277" s="5"/>
      <c r="I277" s="7"/>
    </row>
    <row r="278" spans="1:9">
      <c r="A278" s="4"/>
      <c r="B278" s="4"/>
      <c r="C278" s="5"/>
      <c r="D278" s="5"/>
      <c r="E278" s="6"/>
      <c r="F278" s="6"/>
      <c r="G278" s="6"/>
      <c r="H278" s="5"/>
      <c r="I278" s="7"/>
    </row>
    <row r="279" spans="1:9">
      <c r="A279" s="4" t="s">
        <v>189</v>
      </c>
      <c r="B279" s="4" t="s">
        <v>188</v>
      </c>
      <c r="C279" s="5">
        <v>-1210.0393529999999</v>
      </c>
      <c r="D279" s="5">
        <v>-1210.0441969999999</v>
      </c>
      <c r="E279" s="6">
        <f>G279/SUM($G$279:$G$279)</f>
        <v>1</v>
      </c>
      <c r="F279" s="6">
        <f>(D279-MIN($D$279:$D$279))*2625.5</f>
        <v>0</v>
      </c>
      <c r="G279" s="6">
        <f>EXP(-F279*1000/(8.31*298.15))</f>
        <v>1</v>
      </c>
      <c r="H279" s="5">
        <f>D279*E279</f>
        <v>-1210.0441969999999</v>
      </c>
      <c r="I279" s="7"/>
    </row>
    <row r="280" spans="1:9">
      <c r="A280" s="4"/>
      <c r="C280" s="5" t="s">
        <v>219</v>
      </c>
      <c r="D280" s="5">
        <f>SUMPRODUCT($D$279:$D$279,$E$279:$E$279)</f>
        <v>-1210.0441969999999</v>
      </c>
      <c r="E280" s="6">
        <f>SUM($E$279:$E$279)</f>
        <v>1</v>
      </c>
      <c r="F280" s="6"/>
      <c r="G280" s="6"/>
      <c r="H280" s="5"/>
      <c r="I280" s="7">
        <f>2625.5*((D277+$D$6)-(D280+$D$3))</f>
        <v>-12.759929999423662</v>
      </c>
    </row>
    <row r="281" spans="1:9">
      <c r="A281" s="4"/>
      <c r="B281" s="4"/>
      <c r="C281" s="5"/>
      <c r="D281" s="5"/>
      <c r="E281" s="6"/>
      <c r="F281" s="6"/>
      <c r="G281" s="6"/>
      <c r="H281" s="5"/>
      <c r="I281" s="7"/>
    </row>
  </sheetData>
  <conditionalFormatting sqref="E2:E281">
    <cfRule type="colorScale" priority="2">
      <colorScale>
        <cfvo type="min"/>
        <cfvo type="max"/>
        <color rgb="FFFFFFFF"/>
        <color rgb="FFFF666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Mayer</cp:lastModifiedBy>
  <dcterms:created xsi:type="dcterms:W3CDTF">2026-07-31T11:56:02Z</dcterms:created>
  <dcterms:modified xsi:type="dcterms:W3CDTF">2026-08-10T08:36:44Z</dcterms:modified>
</cp:coreProperties>
</file>