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_local/pka/dft_correlation/"/>
    </mc:Choice>
  </mc:AlternateContent>
  <xr:revisionPtr revIDLastSave="0" documentId="8_{B91F409B-EAD3-2447-816B-C0A95CF382B0}" xr6:coauthVersionLast="47" xr6:coauthVersionMax="47" xr10:uidLastSave="{00000000-0000-0000-0000-000000000000}"/>
  <bookViews>
    <workbookView xWindow="4640" yWindow="660" windowWidth="26120" windowHeight="18320" xr2:uid="{AFAAC6CD-7F74-FE40-8200-12081264B87D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31" i="2" l="1"/>
  <c r="E33" i="2" s="1"/>
  <c r="E32" i="2"/>
  <c r="E27" i="2"/>
  <c r="E29" i="2" s="1"/>
  <c r="E28" i="2"/>
  <c r="E41" i="2"/>
  <c r="E42" i="2" s="1"/>
  <c r="E35" i="2"/>
  <c r="E36" i="2"/>
  <c r="E37" i="2"/>
  <c r="E20" i="2"/>
  <c r="E21" i="2" s="1"/>
  <c r="E24" i="2"/>
  <c r="E23" i="2"/>
  <c r="E25" i="2" s="1"/>
  <c r="N6" i="2" s="1"/>
  <c r="P6" i="2" s="1"/>
  <c r="E14" i="2"/>
  <c r="E15" i="2" s="1"/>
  <c r="E17" i="2"/>
  <c r="E18" i="2" s="1"/>
  <c r="G18" i="2" s="1"/>
  <c r="E11" i="2"/>
  <c r="E12" i="2" s="1"/>
  <c r="G12" i="2" s="1"/>
  <c r="E8" i="2"/>
  <c r="E9" i="2" s="1"/>
  <c r="E3" i="2"/>
  <c r="E5" i="2"/>
  <c r="E6" i="2" s="1"/>
  <c r="E38" i="2"/>
  <c r="E50" i="2"/>
  <c r="E51" i="2" s="1"/>
  <c r="E44" i="2"/>
  <c r="E45" i="2"/>
  <c r="E46" i="2"/>
  <c r="E47" i="2"/>
  <c r="E58" i="2"/>
  <c r="E59" i="2" s="1"/>
  <c r="E53" i="2"/>
  <c r="E54" i="2"/>
  <c r="E55" i="2"/>
  <c r="E56" i="2" s="1"/>
  <c r="E65" i="2"/>
  <c r="E67" i="2" s="1"/>
  <c r="E66" i="2"/>
  <c r="E61" i="2"/>
  <c r="E62" i="2"/>
  <c r="E72" i="2"/>
  <c r="E73" i="2" s="1"/>
  <c r="E69" i="2"/>
  <c r="E70" i="2" s="1"/>
  <c r="E81" i="2"/>
  <c r="E82" i="2"/>
  <c r="E83" i="2"/>
  <c r="E84" i="2"/>
  <c r="E85" i="2"/>
  <c r="E75" i="2"/>
  <c r="E76" i="2"/>
  <c r="E77" i="2"/>
  <c r="E78" i="2"/>
  <c r="E92" i="2"/>
  <c r="E93" i="2"/>
  <c r="E94" i="2" s="1"/>
  <c r="E88" i="2"/>
  <c r="E89" i="2"/>
  <c r="O19" i="2"/>
  <c r="O18" i="2"/>
  <c r="O17" i="2"/>
  <c r="J3" i="2"/>
  <c r="J2" i="2"/>
  <c r="G25" i="2" l="1"/>
  <c r="E86" i="2"/>
  <c r="E48" i="2"/>
  <c r="E39" i="2"/>
  <c r="G42" i="2" s="1"/>
  <c r="E90" i="2"/>
  <c r="G6" i="2"/>
  <c r="E79" i="2"/>
  <c r="E63" i="2"/>
  <c r="G59" i="2"/>
  <c r="N10" i="2"/>
  <c r="P10" i="2" s="1"/>
  <c r="N13" i="2"/>
  <c r="P13" i="2" s="1"/>
  <c r="G86" i="2"/>
  <c r="N14" i="2"/>
  <c r="P14" i="2" s="1"/>
  <c r="G94" i="2"/>
  <c r="G33" i="2"/>
  <c r="N7" i="2"/>
  <c r="P7" i="2" s="1"/>
  <c r="Q7" i="2" s="1"/>
  <c r="G51" i="2"/>
  <c r="N9" i="2"/>
  <c r="P9" i="2" s="1"/>
  <c r="Q9" i="2" s="1"/>
  <c r="N12" i="2"/>
  <c r="P12" i="2" s="1"/>
  <c r="Q12" i="2" s="1"/>
  <c r="G73" i="2"/>
  <c r="N11" i="2"/>
  <c r="P11" i="2" s="1"/>
  <c r="G67" i="2"/>
  <c r="N4" i="2"/>
  <c r="P4" i="2" s="1"/>
  <c r="Q4" i="2" s="1"/>
  <c r="N3" i="2"/>
  <c r="P3" i="2" s="1"/>
  <c r="Q3" i="2" s="1"/>
  <c r="Q10" i="2"/>
  <c r="Q11" i="2"/>
  <c r="Q6" i="2"/>
  <c r="N5" i="2"/>
  <c r="N8" i="2" l="1"/>
  <c r="P8" i="2" s="1"/>
  <c r="Q8" i="2" s="1"/>
  <c r="P5" i="2"/>
  <c r="Q5" i="2" s="1"/>
</calcChain>
</file>

<file path=xl/sharedStrings.xml><?xml version="1.0" encoding="utf-8"?>
<sst xmlns="http://schemas.openxmlformats.org/spreadsheetml/2006/main" count="94" uniqueCount="71">
  <si>
    <t>Filename</t>
  </si>
  <si>
    <t>A_h_2</t>
  </si>
  <si>
    <t>B_h_1</t>
  </si>
  <si>
    <t>C_h_1</t>
  </si>
  <si>
    <t>D_3</t>
  </si>
  <si>
    <t>D_h_1</t>
  </si>
  <si>
    <t>E_2</t>
  </si>
  <si>
    <t>E_h_1</t>
  </si>
  <si>
    <t>E_h_2</t>
  </si>
  <si>
    <t>F_1</t>
  </si>
  <si>
    <t>F_h_1</t>
  </si>
  <si>
    <t>F_h_3</t>
  </si>
  <si>
    <t>F_h_4</t>
  </si>
  <si>
    <t>F_h_6</t>
  </si>
  <si>
    <t>G_1</t>
  </si>
  <si>
    <t>G_h_1</t>
  </si>
  <si>
    <t>G_h_3</t>
  </si>
  <si>
    <t>G_h_4</t>
  </si>
  <si>
    <t>A_1</t>
  </si>
  <si>
    <t>G_h_2</t>
  </si>
  <si>
    <t>H_1</t>
  </si>
  <si>
    <t>H_h_1</t>
  </si>
  <si>
    <t>H_h_2</t>
  </si>
  <si>
    <t>H_h_3</t>
  </si>
  <si>
    <t>I_9</t>
  </si>
  <si>
    <t>I_h_2</t>
  </si>
  <si>
    <t>p7_2</t>
  </si>
  <si>
    <t>p7_h_1</t>
  </si>
  <si>
    <t>p8_2</t>
  </si>
  <si>
    <t>p8_3</t>
  </si>
  <si>
    <t>p8_4</t>
  </si>
  <si>
    <t>p8_5</t>
  </si>
  <si>
    <t>p8_h_1</t>
  </si>
  <si>
    <t>p8_h_2</t>
  </si>
  <si>
    <t>p8_h_3</t>
  </si>
  <si>
    <t>p8_h_4</t>
  </si>
  <si>
    <t>p9_1</t>
  </si>
  <si>
    <t>p9_2</t>
  </si>
  <si>
    <t>p9_h_1</t>
  </si>
  <si>
    <t>p9_h_2</t>
  </si>
  <si>
    <t>weighting</t>
  </si>
  <si>
    <t>weighted</t>
  </si>
  <si>
    <t>∆G(H+)</t>
  </si>
  <si>
    <t>1/2.303RT</t>
  </si>
  <si>
    <t>pka comput</t>
  </si>
  <si>
    <t>pka exp</t>
  </si>
  <si>
    <t>pka correct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</si>
  <si>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</si>
  <si>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</si>
  <si>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</si>
  <si>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</si>
  <si>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</si>
  <si>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</si>
  <si>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</si>
  <si>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</si>
  <si>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</si>
  <si>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P7</t>
  </si>
  <si>
    <t>P8</t>
  </si>
  <si>
    <t>P9</t>
  </si>
  <si>
    <t>B_1</t>
  </si>
  <si>
    <t>C_1</t>
  </si>
  <si>
    <t>D_1</t>
  </si>
  <si>
    <t>E_1</t>
  </si>
  <si>
    <t>I_h_1</t>
  </si>
  <si>
    <t>I_1</t>
  </si>
  <si>
    <t>p8_1</t>
  </si>
  <si>
    <t>E_low (Hartree)</t>
  </si>
  <si>
    <t>G_low (Hartree)</t>
  </si>
  <si>
    <t>E_high (Hartree)</t>
  </si>
  <si>
    <t xml:space="preserve"> G_combined</t>
  </si>
  <si>
    <t>pKa_DFT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</si>
</sst>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"/>
  </numFmts>
  <fonts count="4">
    <font>
      <sz val="12"/>
      <color theme="1"/>
      <name val="Aptos Narrow"/>
      <family val="2"/>
      <scheme val="minor"/>
    </font>
    <font>
      <sz val="12"/>
      <color indexed="8"/>
      <name val="Century"/>
      <family val="1"/>
    </font>
    <font>
      <b/>
      <sz val="12"/>
      <color rgb="FF008000"/>
      <name val="Century"/>
      <family val="1"/>
    </font>
    <font>
      <sz val="10"/>
      <name val="Arial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4" fontId="0" fillId="2" borderId="0" xfId="0" applyNumberFormat="1" applyFill="1"/>
    <xf numFmtId="2" fontId="1" fillId="2" borderId="1" xfId="0" applyNumberFormat="1" applyFont="1" applyFill="1" applyBorder="1" applyAlignment="1">
      <alignment horizontal="right"/>
    </xf>
    <xf numFmtId="2" fontId="2" fillId="2" borderId="1" xfId="0" applyNumberFormat="1" applyFont="1" applyFill="1" applyBorder="1"/>
    <xf numFmtId="0" fontId="2" fillId="2" borderId="1" xfId="0" applyFont="1" applyFill="1" applyBorder="1"/>
    <xf numFmtId="166" fontId="0" fillId="0" borderId="0" xfId="0" applyNumberFormat="1"/>
    <xf numFmtId="165" fontId="3" fillId="0" borderId="0" xfId="1" applyNumberFormat="1" applyAlignment="1">
      <alignment horizontal="center"/>
    </xf>
    <xf numFmtId="166" fontId="0" fillId="2" borderId="0" xfId="0" applyNumberFormat="1" applyFill="1"/>
    <xf numFmtId="0" fontId="0" fillId="0" borderId="0" xfId="0" applyFill="1"/>
    <xf numFmtId="165" fontId="0" fillId="0" borderId="0" xfId="0" applyNumberFormat="1" applyFill="1"/>
    <xf numFmtId="164" fontId="0" fillId="0" borderId="0" xfId="0" applyNumberFormat="1" applyFill="1"/>
  </cellXfs>
  <cellStyles count="2">
    <cellStyle name="Normalny 2" xfId="1" xr:uid="{A22A2739-FDAB-7040-A98A-F08426D3A88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1444177941984123"/>
                  <c:y val="0.467048553132919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Tabelle2!$N$3:$N$11</c:f>
              <c:numCache>
                <c:formatCode>0.0</c:formatCode>
                <c:ptCount val="9"/>
                <c:pt idx="0">
                  <c:v>14.184364367245069</c:v>
                </c:pt>
                <c:pt idx="1">
                  <c:v>12.73561978810433</c:v>
                </c:pt>
                <c:pt idx="2">
                  <c:v>13.051609978735181</c:v>
                </c:pt>
                <c:pt idx="3">
                  <c:v>14.406895363630486</c:v>
                </c:pt>
                <c:pt idx="4">
                  <c:v>13.569660245273065</c:v>
                </c:pt>
                <c:pt idx="5">
                  <c:v>14.448094499244812</c:v>
                </c:pt>
                <c:pt idx="6">
                  <c:v>15.52833332598837</c:v>
                </c:pt>
                <c:pt idx="7">
                  <c:v>12.114742278853916</c:v>
                </c:pt>
                <c:pt idx="8">
                  <c:v>11.097734279139404</c:v>
                </c:pt>
              </c:numCache>
            </c:numRef>
          </c:xVal>
          <c:yVal>
            <c:numRef>
              <c:f>Tabelle2!$O$3:$O$11</c:f>
              <c:numCache>
                <c:formatCode>General</c:formatCode>
                <c:ptCount val="9"/>
                <c:pt idx="0">
                  <c:v>7.51</c:v>
                </c:pt>
                <c:pt idx="1">
                  <c:v>6.67</c:v>
                </c:pt>
                <c:pt idx="2">
                  <c:v>6.79</c:v>
                </c:pt>
                <c:pt idx="3">
                  <c:v>7.68</c:v>
                </c:pt>
                <c:pt idx="4">
                  <c:v>7.16</c:v>
                </c:pt>
                <c:pt idx="5">
                  <c:v>8.07</c:v>
                </c:pt>
                <c:pt idx="6">
                  <c:v>8.82</c:v>
                </c:pt>
                <c:pt idx="7">
                  <c:v>6.29</c:v>
                </c:pt>
                <c:pt idx="8">
                  <c:v>5.89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50-EF4F-8268-25041E28AD3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Tabelle2!$N$12</c:f>
              <c:numCache>
                <c:formatCode>0.0</c:formatCode>
                <c:ptCount val="1"/>
                <c:pt idx="0">
                  <c:v>6.7401516864830233</c:v>
                </c:pt>
              </c:numCache>
            </c:numRef>
          </c:xVal>
          <c:yVal>
            <c:numRef>
              <c:f>Tabelle2!$R$12</c:f>
              <c:numCache>
                <c:formatCode>General</c:formatCode>
                <c:ptCount val="1"/>
                <c:pt idx="0">
                  <c:v>2.5499999999999998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550-EF4F-8268-25041E28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167520"/>
        <c:axId val="1157420368"/>
      </c:scatterChart>
      <c:valAx>
        <c:axId val="1157167520"/>
        <c:scaling>
          <c:orientation val="minMax"/>
          <c:max val="18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p</a:t>
                </a:r>
                <a:r>
                  <a:rPr lang="de-DE" i="1"/>
                  <a:t>K</a:t>
                </a:r>
                <a:r>
                  <a:rPr lang="de-DE" baseline="-25000"/>
                  <a:t>a,DFT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157420368"/>
        <c:crosses val="autoZero"/>
        <c:crossBetween val="midCat"/>
        <c:majorUnit val="1"/>
      </c:valAx>
      <c:valAx>
        <c:axId val="1157420368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000" b="0" i="0" baseline="0">
                    <a:effectLst/>
                  </a:rPr>
                  <a:t>p</a:t>
                </a:r>
                <a:r>
                  <a:rPr lang="de-DE" sz="1000" b="0" i="1" baseline="0">
                    <a:effectLst/>
                  </a:rPr>
                  <a:t>K</a:t>
                </a:r>
                <a:r>
                  <a:rPr lang="de-DE" sz="1000" b="0" i="0" baseline="-25000">
                    <a:effectLst/>
                  </a:rPr>
                  <a:t>a,exp</a:t>
                </a:r>
                <a:r>
                  <a:rPr lang="de-DE" sz="1000" b="0" i="0" baseline="0">
                    <a:effectLst/>
                  </a:rPr>
                  <a:t> </a:t>
                </a:r>
                <a:endParaRPr lang="de-DE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15716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676454</xdr:colOff>
      <xdr:row>2</xdr:row>
      <xdr:rowOff>0</xdr:rowOff>
    </xdr:from>
    <xdr:to>
      <xdr:col>21</xdr:col>
      <xdr:colOff>711199</xdr:colOff>
      <xdr:row>13</xdr:row>
      <xdr:rowOff>184891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BCCB4A7-9F3F-C44F-A8D3-0C86EF050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E0EB-1CAA-D242-8782-CCBD3972C589}">
  <dimension ref="A1:R120"/>
  <sheetViews>
    <sheetView tabSelected="1" zoomScale="124" workbookViewId="0">
      <selection activeCell="I8" sqref="I8"/>
    </sheetView>
  </sheetViews>
  <sheetFormatPr baseColWidth="10" defaultRowHeight="16"/>
  <cols>
    <col min="1" max="1" width="20.1640625" customWidth="1"/>
    <col min="2" max="2" width="18.33203125" customWidth="1"/>
    <col min="3" max="3" width="18.5" customWidth="1"/>
    <col min="4" max="4" width="16.6640625" customWidth="1"/>
    <col min="5" max="5" width="15.33203125" customWidth="1"/>
    <col min="6" max="6" width="10.83203125" style="2"/>
    <col min="10" max="10" width="14.1640625" customWidth="1"/>
  </cols>
  <sheetData>
    <row r="1" spans="1:18">
      <c r="A1" t="s">
        <v>0</v>
      </c>
      <c r="B1" t="s">
        <v>66</v>
      </c>
      <c r="C1" t="s">
        <v>67</v>
      </c>
      <c r="D1" t="s">
        <v>68</v>
      </c>
      <c r="E1" t="s">
        <v>69</v>
      </c>
      <c r="F1" s="2" t="s">
        <v>40</v>
      </c>
      <c r="G1" t="s">
        <v>70</v>
      </c>
    </row>
    <row r="2" spans="1:18">
      <c r="A2" s="11" t="s">
        <v>1</v>
      </c>
      <c r="B2" s="13">
        <v>-798.86495262999995</v>
      </c>
      <c r="C2" s="13">
        <v>-798.78414506000001</v>
      </c>
      <c r="D2" s="13">
        <v>-799.56395454000005</v>
      </c>
      <c r="E2" s="13">
        <f>D2+(C2-B2)</f>
        <v>-799.48314697000012</v>
      </c>
      <c r="F2" s="2">
        <v>1</v>
      </c>
      <c r="G2" s="3"/>
      <c r="I2" s="5" t="s">
        <v>42</v>
      </c>
      <c r="J2" s="6">
        <f>(4.184*-265.9)+(-26.3)+7.92</f>
        <v>-1130.9055999999998</v>
      </c>
      <c r="N2" t="s">
        <v>44</v>
      </c>
      <c r="O2" t="s">
        <v>45</v>
      </c>
      <c r="P2" t="s">
        <v>46</v>
      </c>
    </row>
    <row r="3" spans="1:18">
      <c r="B3" s="1"/>
      <c r="C3" s="1"/>
      <c r="D3" s="4" t="s">
        <v>41</v>
      </c>
      <c r="E3" s="4">
        <f>E2*F2</f>
        <v>-799.48314697000012</v>
      </c>
      <c r="G3" s="3"/>
      <c r="I3" s="5" t="s">
        <v>43</v>
      </c>
      <c r="J3" s="7">
        <f>1/(2.303*298.15*8.314472*0.001)</f>
        <v>0.17516066012569409</v>
      </c>
      <c r="M3" t="s">
        <v>47</v>
      </c>
      <c r="N3" s="8">
        <f>((E6-E3)*2625.5+$J$2)*$J$3</f>
        <v>14.184364367245069</v>
      </c>
      <c r="O3">
        <v>7.51</v>
      </c>
      <c r="P3" s="8">
        <f>0.6605*N3-1.6813</f>
        <v>7.6874726645653677</v>
      </c>
      <c r="Q3" s="8">
        <f>P3-O3</f>
        <v>0.17747266456536792</v>
      </c>
    </row>
    <row r="4" spans="1:18">
      <c r="B4" s="1"/>
      <c r="C4" s="1"/>
      <c r="D4" s="1"/>
      <c r="E4" s="1"/>
      <c r="G4" s="3"/>
      <c r="M4" t="s">
        <v>48</v>
      </c>
      <c r="N4" s="8">
        <f>((E12-E9)*2625.5+$J$2)*$J$3</f>
        <v>12.73561978810433</v>
      </c>
      <c r="O4">
        <v>6.67</v>
      </c>
      <c r="P4" s="8">
        <f t="shared" ref="P4:P14" si="0">0.6605*N4-1.6813</f>
        <v>6.7305768700429098</v>
      </c>
      <c r="Q4" s="8">
        <f t="shared" ref="Q4:Q12" si="1">P4-O4</f>
        <v>6.0576870042909903E-2</v>
      </c>
    </row>
    <row r="5" spans="1:18">
      <c r="A5" s="11" t="s">
        <v>18</v>
      </c>
      <c r="B5" s="13">
        <v>-798.37177073999999</v>
      </c>
      <c r="C5" s="13">
        <v>-798.30213477999996</v>
      </c>
      <c r="D5" s="13">
        <v>-799.09120046299995</v>
      </c>
      <c r="E5" s="13">
        <f>D5+(C5-B5)</f>
        <v>-799.02156450299992</v>
      </c>
      <c r="F5" s="2">
        <v>1</v>
      </c>
      <c r="G5" s="3"/>
      <c r="M5" t="s">
        <v>49</v>
      </c>
      <c r="N5" s="8">
        <f>((E18-E15)*2625.5+$J$2)*$J$3</f>
        <v>13.051609978735181</v>
      </c>
      <c r="O5">
        <v>6.79</v>
      </c>
      <c r="P5" s="8">
        <f t="shared" si="0"/>
        <v>6.9392883909545873</v>
      </c>
      <c r="Q5" s="8">
        <f t="shared" si="1"/>
        <v>0.14928839095458724</v>
      </c>
    </row>
    <row r="6" spans="1:18">
      <c r="B6" s="1"/>
      <c r="C6" s="1"/>
      <c r="D6" s="4" t="s">
        <v>41</v>
      </c>
      <c r="E6" s="4">
        <f>E5*F5</f>
        <v>-799.02156450299992</v>
      </c>
      <c r="G6" s="3">
        <f>((E6-E3)*2625.5+$J$2)*$J$3</f>
        <v>14.184364367245069</v>
      </c>
      <c r="M6" t="s">
        <v>50</v>
      </c>
      <c r="N6" s="8">
        <f>((E25-E21)*2625.5+$J$2)*$J$3</f>
        <v>14.406895363630486</v>
      </c>
      <c r="O6">
        <v>7.68</v>
      </c>
      <c r="P6" s="8">
        <f t="shared" si="0"/>
        <v>7.8344543876779351</v>
      </c>
      <c r="Q6" s="8">
        <f t="shared" si="1"/>
        <v>0.1544543876779354</v>
      </c>
    </row>
    <row r="7" spans="1:18">
      <c r="B7" s="1"/>
      <c r="C7" s="1"/>
      <c r="D7" s="1"/>
      <c r="E7" s="1"/>
      <c r="G7" s="3"/>
      <c r="M7" t="s">
        <v>51</v>
      </c>
      <c r="N7" s="8">
        <f>((E33-E29)*2625.5+$J$2)*$J$3</f>
        <v>13.569660245273065</v>
      </c>
      <c r="O7">
        <v>7.16</v>
      </c>
      <c r="P7" s="8">
        <f t="shared" si="0"/>
        <v>7.2814605920028583</v>
      </c>
      <c r="Q7" s="8">
        <f t="shared" si="1"/>
        <v>0.12146059200285819</v>
      </c>
    </row>
    <row r="8" spans="1:18">
      <c r="A8" s="11" t="s">
        <v>2</v>
      </c>
      <c r="B8" s="13">
        <v>-1003.13962681</v>
      </c>
      <c r="C8" s="13">
        <v>-1003.05949146</v>
      </c>
      <c r="D8" s="13">
        <v>-1004.081218</v>
      </c>
      <c r="E8" s="13">
        <f>D8+(C8-B8)</f>
        <v>-1004.0010826500001</v>
      </c>
      <c r="F8" s="2">
        <v>1</v>
      </c>
      <c r="G8" s="3"/>
      <c r="M8" t="s">
        <v>52</v>
      </c>
      <c r="N8" s="8">
        <f>((E42-E39)*2625.5+$J$2)*$J$3</f>
        <v>14.448094499244812</v>
      </c>
      <c r="O8">
        <v>8.07</v>
      </c>
      <c r="P8" s="8">
        <f t="shared" si="0"/>
        <v>7.8616664167511985</v>
      </c>
      <c r="Q8" s="8">
        <f t="shared" si="1"/>
        <v>-0.2083335832488018</v>
      </c>
    </row>
    <row r="9" spans="1:18">
      <c r="B9" s="1"/>
      <c r="C9" s="1"/>
      <c r="D9" s="4" t="s">
        <v>41</v>
      </c>
      <c r="E9" s="4">
        <f>E8*F8</f>
        <v>-1004.0010826500001</v>
      </c>
      <c r="G9" s="3"/>
      <c r="M9" t="s">
        <v>53</v>
      </c>
      <c r="N9" s="8">
        <f>((E51-E48)*2625.5+$J$2)*$J$3</f>
        <v>15.52833332598837</v>
      </c>
      <c r="O9">
        <v>8.82</v>
      </c>
      <c r="P9" s="8">
        <f t="shared" si="0"/>
        <v>8.5751641618153176</v>
      </c>
      <c r="Q9" s="8">
        <f t="shared" si="1"/>
        <v>-0.24483583818468269</v>
      </c>
    </row>
    <row r="10" spans="1:18">
      <c r="G10" s="3"/>
      <c r="M10" t="s">
        <v>54</v>
      </c>
      <c r="N10" s="8">
        <f>((E59-E56)*2625.5+$J$2)*$J$3</f>
        <v>12.114742278853916</v>
      </c>
      <c r="O10">
        <v>6.29</v>
      </c>
      <c r="P10" s="8">
        <f t="shared" si="0"/>
        <v>6.3204872751830106</v>
      </c>
      <c r="Q10" s="8">
        <f t="shared" si="1"/>
        <v>3.0487275183010532E-2</v>
      </c>
    </row>
    <row r="11" spans="1:18">
      <c r="A11" s="11" t="s">
        <v>59</v>
      </c>
      <c r="B11" s="13">
        <v>-1002.65009642</v>
      </c>
      <c r="C11" s="13">
        <v>-1002.58122783</v>
      </c>
      <c r="D11" s="13">
        <v>-1003.6115190100001</v>
      </c>
      <c r="E11" s="13">
        <f>D11+(C11-B11)</f>
        <v>-1003.5426504200001</v>
      </c>
      <c r="F11" s="2">
        <v>1</v>
      </c>
      <c r="G11" s="3"/>
      <c r="M11" t="s">
        <v>55</v>
      </c>
      <c r="N11" s="8">
        <f>((E67-E63)*2625.5+$J$2)*$J$3</f>
        <v>11.097734279139404</v>
      </c>
      <c r="O11">
        <v>5.89</v>
      </c>
      <c r="P11" s="8">
        <f t="shared" si="0"/>
        <v>5.6487534913715756</v>
      </c>
      <c r="Q11" s="8">
        <f t="shared" si="1"/>
        <v>-0.24124650862842412</v>
      </c>
    </row>
    <row r="12" spans="1:18">
      <c r="B12" s="1"/>
      <c r="C12" s="1"/>
      <c r="D12" s="4" t="s">
        <v>41</v>
      </c>
      <c r="E12" s="4">
        <f>E11*F11</f>
        <v>-1003.5426504200001</v>
      </c>
      <c r="G12" s="3">
        <f>((E12-E9)*2625.5+$J$2)*$J$3</f>
        <v>12.73561978810433</v>
      </c>
      <c r="M12" t="s">
        <v>56</v>
      </c>
      <c r="N12" s="8">
        <f>((E73-E70)*2625.5+$J$2)*$J$3</f>
        <v>6.7401516864830233</v>
      </c>
      <c r="P12" s="10">
        <f t="shared" si="0"/>
        <v>2.7705701889220364</v>
      </c>
      <c r="Q12" s="8">
        <f t="shared" si="1"/>
        <v>2.7705701889220364</v>
      </c>
      <c r="R12">
        <v>2.5499999999999998</v>
      </c>
    </row>
    <row r="13" spans="1:18">
      <c r="A13" s="1"/>
      <c r="B13" s="1"/>
      <c r="C13" s="1"/>
      <c r="D13" s="1"/>
      <c r="E13" s="1"/>
      <c r="G13" s="3"/>
      <c r="M13" t="s">
        <v>57</v>
      </c>
      <c r="N13" s="8">
        <f>((E86-E79)*2625.5+$J$2)*$J$3</f>
        <v>6.9348627186032621</v>
      </c>
      <c r="P13" s="10">
        <f t="shared" si="0"/>
        <v>2.8991768256374542</v>
      </c>
      <c r="Q13" s="8"/>
    </row>
    <row r="14" spans="1:18">
      <c r="A14" s="11" t="s">
        <v>3</v>
      </c>
      <c r="B14" s="13">
        <v>-891.01168577999999</v>
      </c>
      <c r="C14" s="13">
        <v>-890.93458712999995</v>
      </c>
      <c r="D14" s="13">
        <v>-891.81627624800001</v>
      </c>
      <c r="E14" s="13">
        <f>D14+(C14-B14)</f>
        <v>-891.73917759799997</v>
      </c>
      <c r="F14" s="2">
        <v>1</v>
      </c>
      <c r="G14" s="3"/>
      <c r="M14" t="s">
        <v>58</v>
      </c>
      <c r="N14" s="8">
        <f>((E94-E90)*2625.5+$J$2)*$J$3</f>
        <v>7.7352691981118875</v>
      </c>
      <c r="P14" s="10">
        <f t="shared" si="0"/>
        <v>3.4278453053529017</v>
      </c>
      <c r="Q14" s="8"/>
    </row>
    <row r="15" spans="1:18">
      <c r="B15" s="1"/>
      <c r="C15" s="1"/>
      <c r="D15" s="4" t="s">
        <v>41</v>
      </c>
      <c r="E15" s="4">
        <f>E14*F14</f>
        <v>-891.73917759799997</v>
      </c>
      <c r="G15" s="3"/>
    </row>
    <row r="16" spans="1:18">
      <c r="B16" s="1"/>
      <c r="C16" s="1"/>
      <c r="D16" s="1"/>
      <c r="E16" s="1"/>
      <c r="G16" s="3"/>
    </row>
    <row r="17" spans="1:16">
      <c r="A17" s="11" t="s">
        <v>60</v>
      </c>
      <c r="B17" s="13">
        <v>-890.52133452999999</v>
      </c>
      <c r="C17" s="13">
        <v>-890.45550304000005</v>
      </c>
      <c r="D17" s="13">
        <v>-891.34588974999997</v>
      </c>
      <c r="E17" s="13">
        <f>D17+(C17-B17)</f>
        <v>-891.28005826000003</v>
      </c>
      <c r="F17" s="2">
        <v>1</v>
      </c>
      <c r="G17" s="3"/>
      <c r="N17">
        <v>10</v>
      </c>
      <c r="O17">
        <f>0.7034*N17+3.901</f>
        <v>10.935</v>
      </c>
    </row>
    <row r="18" spans="1:16">
      <c r="B18" s="1"/>
      <c r="C18" s="1"/>
      <c r="D18" s="4" t="s">
        <v>41</v>
      </c>
      <c r="E18" s="4">
        <f>E17*F17</f>
        <v>-891.28005826000003</v>
      </c>
      <c r="G18" s="3">
        <f>((E18-E15)*2625.5+$J$2)*$J$3</f>
        <v>13.051609978735181</v>
      </c>
      <c r="N18">
        <v>20</v>
      </c>
      <c r="O18">
        <f t="shared" ref="O18:O19" si="2">0.7034*N18+3.901</f>
        <v>17.969000000000001</v>
      </c>
    </row>
    <row r="19" spans="1:16">
      <c r="N19">
        <v>30</v>
      </c>
      <c r="O19">
        <f t="shared" si="2"/>
        <v>25.003</v>
      </c>
    </row>
    <row r="20" spans="1:16">
      <c r="A20" s="11" t="s">
        <v>5</v>
      </c>
      <c r="B20" s="13">
        <v>-838.13130405000004</v>
      </c>
      <c r="C20" s="13">
        <v>-838.02548200000001</v>
      </c>
      <c r="D20" s="13">
        <v>-838.87494672900004</v>
      </c>
      <c r="E20" s="13">
        <f>D20+(C20-B20)</f>
        <v>-838.76912467900002</v>
      </c>
      <c r="F20" s="2">
        <v>1</v>
      </c>
    </row>
    <row r="21" spans="1:16">
      <c r="B21" s="1"/>
      <c r="C21" s="1"/>
      <c r="D21" s="4" t="s">
        <v>41</v>
      </c>
      <c r="E21" s="4">
        <f>E20*F20</f>
        <v>-838.76912467900002</v>
      </c>
    </row>
    <row r="22" spans="1:16">
      <c r="B22" s="1"/>
      <c r="C22" s="1"/>
      <c r="D22" s="1"/>
      <c r="E22" s="1"/>
      <c r="G22" s="3"/>
    </row>
    <row r="23" spans="1:16">
      <c r="A23" s="11" t="s">
        <v>61</v>
      </c>
      <c r="B23" s="13">
        <v>-837.63753653000003</v>
      </c>
      <c r="C23" s="13">
        <v>-837.54294690999996</v>
      </c>
      <c r="D23" s="13">
        <v>-838.40164514599996</v>
      </c>
      <c r="E23" s="13">
        <f>D23+(C23-B23)</f>
        <v>-838.30705552599989</v>
      </c>
      <c r="F23" s="2">
        <v>0.49851941134393268</v>
      </c>
      <c r="G23" s="3"/>
    </row>
    <row r="24" spans="1:16">
      <c r="A24" s="11" t="s">
        <v>4</v>
      </c>
      <c r="B24" s="13">
        <v>-837.63753532999999</v>
      </c>
      <c r="C24" s="13">
        <v>-837.54295389000004</v>
      </c>
      <c r="D24" s="13">
        <v>-838.401642552</v>
      </c>
      <c r="E24" s="13">
        <f>D24+(C24-B24)</f>
        <v>-838.30706111200004</v>
      </c>
      <c r="F24" s="2">
        <v>0.50148058865606726</v>
      </c>
      <c r="G24" s="3"/>
    </row>
    <row r="25" spans="1:16">
      <c r="C25" s="1"/>
      <c r="D25" s="4" t="s">
        <v>41</v>
      </c>
      <c r="E25" s="4">
        <f>E23*F23+E24*F24</f>
        <v>-838.30705832727051</v>
      </c>
      <c r="G25" s="3">
        <f>((E25-E21)*2625.5+$J$2)*$J$3</f>
        <v>14.406895363630486</v>
      </c>
    </row>
    <row r="26" spans="1:16">
      <c r="G26" s="3"/>
    </row>
    <row r="27" spans="1:16">
      <c r="A27" s="11" t="s">
        <v>7</v>
      </c>
      <c r="B27" s="13">
        <v>-897.99720451999997</v>
      </c>
      <c r="C27" s="13">
        <v>-897.92566005000003</v>
      </c>
      <c r="D27" s="13">
        <v>-898.81704013700005</v>
      </c>
      <c r="E27" s="13">
        <f>D27+(C27-B27)</f>
        <v>-898.74549566700011</v>
      </c>
      <c r="F27" s="2">
        <v>0.59067887223865334</v>
      </c>
    </row>
    <row r="28" spans="1:16">
      <c r="A28" s="11" t="s">
        <v>8</v>
      </c>
      <c r="B28" s="13">
        <v>-897.99723361999997</v>
      </c>
      <c r="C28" s="13">
        <v>-897.92532935999998</v>
      </c>
      <c r="D28" s="13">
        <v>-898.81705398600002</v>
      </c>
      <c r="E28" s="13">
        <f>D28+(C28-B28)</f>
        <v>-898.74514972600002</v>
      </c>
      <c r="F28" s="2">
        <v>0.40932112776134666</v>
      </c>
    </row>
    <row r="29" spans="1:16">
      <c r="A29" s="1"/>
      <c r="B29" s="1"/>
      <c r="C29" s="1"/>
      <c r="D29" s="4" t="s">
        <v>41</v>
      </c>
      <c r="E29" s="4">
        <f>E27*F27+E28*F28</f>
        <v>-898.74535406603991</v>
      </c>
    </row>
    <row r="30" spans="1:16">
      <c r="A30" s="1"/>
      <c r="B30" s="1"/>
      <c r="C30" s="1"/>
      <c r="D30" s="1"/>
      <c r="E30" s="1"/>
      <c r="G30" s="3"/>
      <c r="M30" s="1"/>
      <c r="N30" s="1"/>
      <c r="O30" s="1"/>
      <c r="P30" s="1"/>
    </row>
    <row r="31" spans="1:16">
      <c r="A31" s="11" t="s">
        <v>62</v>
      </c>
      <c r="B31" s="13">
        <v>-897.50518915999999</v>
      </c>
      <c r="C31" s="13">
        <v>-897.44496830000003</v>
      </c>
      <c r="D31" s="13">
        <v>-898.34550392000006</v>
      </c>
      <c r="E31" s="13">
        <f>D31+(C31-B31)</f>
        <v>-898.2852830600001</v>
      </c>
      <c r="F31" s="2">
        <v>0.61938671832874748</v>
      </c>
      <c r="G31" s="3"/>
      <c r="M31" s="1"/>
      <c r="N31" s="1"/>
      <c r="O31" s="1"/>
      <c r="P31" s="1"/>
    </row>
    <row r="32" spans="1:16">
      <c r="A32" s="11" t="s">
        <v>6</v>
      </c>
      <c r="B32" s="13">
        <v>-897.50541508000003</v>
      </c>
      <c r="C32" s="13">
        <v>-897.44475941999997</v>
      </c>
      <c r="D32" s="13">
        <v>-898.34547943099994</v>
      </c>
      <c r="E32" s="13">
        <f>D32+(C32-B32)</f>
        <v>-898.28482377099988</v>
      </c>
      <c r="F32" s="2">
        <v>0.38061328167125258</v>
      </c>
      <c r="G32" s="3"/>
      <c r="M32" s="1"/>
      <c r="N32" s="1"/>
      <c r="O32" s="1"/>
      <c r="P32" s="1"/>
    </row>
    <row r="33" spans="1:16">
      <c r="A33" s="1"/>
      <c r="B33" s="1"/>
      <c r="C33" s="1"/>
      <c r="D33" s="4" t="s">
        <v>41</v>
      </c>
      <c r="E33" s="4">
        <f>E31*F31+E32*F32</f>
        <v>-898.2851082485065</v>
      </c>
      <c r="G33" s="3">
        <f>((E33-E29)*2625.5+$J$2)*$J$3</f>
        <v>13.569660245273065</v>
      </c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G34" s="3"/>
      <c r="M34" s="1"/>
      <c r="N34" s="1"/>
      <c r="O34" s="1"/>
      <c r="P34" s="1"/>
    </row>
    <row r="35" spans="1:16">
      <c r="A35" s="11" t="s">
        <v>10</v>
      </c>
      <c r="B35" s="13">
        <v>-877.39912411</v>
      </c>
      <c r="C35" s="13">
        <v>-877.26667659999998</v>
      </c>
      <c r="D35" s="13">
        <v>-878.18498557999999</v>
      </c>
      <c r="E35" s="13">
        <f>D35+(C35-B35)</f>
        <v>-878.05253806999997</v>
      </c>
      <c r="F35" s="9">
        <v>0.29313025193018744</v>
      </c>
      <c r="G35" s="3"/>
      <c r="M35" s="1"/>
      <c r="N35" s="1"/>
      <c r="O35" s="1"/>
      <c r="P35" s="1"/>
    </row>
    <row r="36" spans="1:16">
      <c r="A36" s="11" t="s">
        <v>11</v>
      </c>
      <c r="B36" s="13">
        <v>-877.39894941</v>
      </c>
      <c r="C36" s="13">
        <v>-877.26647897999999</v>
      </c>
      <c r="D36" s="13">
        <v>-878.18462062599997</v>
      </c>
      <c r="E36" s="13">
        <f>D36+(C36-B36)</f>
        <v>-878.05215019599996</v>
      </c>
      <c r="F36" s="9">
        <v>0.19429671992198186</v>
      </c>
      <c r="G36" s="3"/>
      <c r="M36" s="1"/>
      <c r="N36" s="1"/>
      <c r="O36" s="1"/>
      <c r="P36" s="1"/>
    </row>
    <row r="37" spans="1:16">
      <c r="A37" s="11" t="s">
        <v>12</v>
      </c>
      <c r="B37" s="13">
        <v>-877.39894952999998</v>
      </c>
      <c r="C37" s="13">
        <v>-877.26647259000003</v>
      </c>
      <c r="D37" s="13">
        <v>-878.18462440600001</v>
      </c>
      <c r="E37" s="13">
        <f>D37+(C37-B37)</f>
        <v>-878.05214746600006</v>
      </c>
      <c r="F37" s="9">
        <v>0.19373516210647429</v>
      </c>
      <c r="G37" s="3"/>
      <c r="M37" s="1"/>
      <c r="N37" s="1"/>
      <c r="O37" s="1"/>
      <c r="P37" s="1"/>
    </row>
    <row r="38" spans="1:16">
      <c r="A38" s="11" t="s">
        <v>13</v>
      </c>
      <c r="B38" s="13">
        <v>-877.39892921000001</v>
      </c>
      <c r="C38" s="13">
        <v>-877.26693845</v>
      </c>
      <c r="D38" s="13">
        <v>-878.184608121</v>
      </c>
      <c r="E38" s="13">
        <f>D38+(C38-B38)</f>
        <v>-878.05261736099999</v>
      </c>
      <c r="F38" s="9">
        <v>0.31883786604135639</v>
      </c>
      <c r="G38" s="3"/>
      <c r="M38" s="1"/>
      <c r="N38" s="1"/>
      <c r="O38" s="1"/>
      <c r="P38" s="1"/>
    </row>
    <row r="39" spans="1:16">
      <c r="D39" s="4" t="s">
        <v>41</v>
      </c>
      <c r="E39" s="4">
        <f>E35*F35+E36*F36+E37*F37+E38*F38</f>
        <v>-878.05241231459809</v>
      </c>
      <c r="G39" s="3"/>
      <c r="M39" s="1"/>
      <c r="N39" s="1"/>
      <c r="O39" s="1"/>
      <c r="P39" s="1"/>
    </row>
    <row r="40" spans="1:16">
      <c r="G40" s="3"/>
      <c r="M40" s="1"/>
      <c r="N40" s="1"/>
      <c r="O40" s="1"/>
      <c r="P40" s="1"/>
    </row>
    <row r="41" spans="1:16">
      <c r="A41" s="11" t="s">
        <v>9</v>
      </c>
      <c r="B41" s="13">
        <v>-876.90674636999995</v>
      </c>
      <c r="C41" s="13">
        <v>-876.78581778</v>
      </c>
      <c r="D41" s="13">
        <v>-877.71118496700001</v>
      </c>
      <c r="E41" s="13">
        <f>D41+(C41-B41)</f>
        <v>-877.59025637700006</v>
      </c>
      <c r="F41" s="2">
        <v>1</v>
      </c>
      <c r="G41" s="3"/>
      <c r="M41" s="1"/>
      <c r="N41" s="1"/>
      <c r="O41" s="1"/>
      <c r="P41" s="1"/>
    </row>
    <row r="42" spans="1:16">
      <c r="D42" s="4" t="s">
        <v>41</v>
      </c>
      <c r="E42" s="4">
        <f>E41*F41</f>
        <v>-877.59025637700006</v>
      </c>
      <c r="G42" s="3">
        <f>((E42-E39)*2625.5+$J$2)*$J$3</f>
        <v>14.448094499244812</v>
      </c>
      <c r="M42" s="1"/>
      <c r="N42" s="1"/>
      <c r="O42" s="1"/>
      <c r="P42" s="1"/>
    </row>
    <row r="43" spans="1:16">
      <c r="G43" s="3"/>
      <c r="M43" s="1"/>
      <c r="N43" s="1"/>
      <c r="O43" s="1"/>
      <c r="P43" s="1"/>
    </row>
    <row r="44" spans="1:16">
      <c r="A44" s="11" t="s">
        <v>15</v>
      </c>
      <c r="B44" s="13">
        <v>-916.65930251999998</v>
      </c>
      <c r="C44" s="13">
        <v>-916.50074083000004</v>
      </c>
      <c r="D44" s="13">
        <v>-917.48827645400002</v>
      </c>
      <c r="E44" s="13">
        <f>D44+(C44-B44)</f>
        <v>-917.32971476400007</v>
      </c>
      <c r="F44" s="2">
        <v>0.46367865708120792</v>
      </c>
      <c r="G44" s="3"/>
      <c r="M44" s="1"/>
      <c r="N44" s="1"/>
      <c r="O44" s="1"/>
      <c r="P44" s="1"/>
    </row>
    <row r="45" spans="1:16">
      <c r="A45" s="11" t="s">
        <v>19</v>
      </c>
      <c r="B45" s="13">
        <v>-916.65930136999998</v>
      </c>
      <c r="C45" s="13">
        <v>-916.50053734999995</v>
      </c>
      <c r="D45" s="13">
        <v>-917.48827468000002</v>
      </c>
      <c r="E45" s="13">
        <f>D45+(C45-B45)</f>
        <v>-917.32951065999998</v>
      </c>
      <c r="F45" s="2">
        <v>0.37345489962941036</v>
      </c>
      <c r="G45" s="3"/>
      <c r="M45" s="1"/>
      <c r="N45" s="1"/>
      <c r="O45" s="1"/>
      <c r="P45" s="1"/>
    </row>
    <row r="46" spans="1:16">
      <c r="A46" s="11" t="s">
        <v>16</v>
      </c>
      <c r="B46" s="13">
        <v>-916.65729104000002</v>
      </c>
      <c r="C46" s="13">
        <v>-916.49769208999999</v>
      </c>
      <c r="D46" s="13">
        <v>-917.48749912899996</v>
      </c>
      <c r="E46" s="13">
        <f>D46+(C46-B46)</f>
        <v>-917.32790017899993</v>
      </c>
      <c r="F46" s="2">
        <v>6.7717052102841804E-2</v>
      </c>
      <c r="G46" s="3"/>
      <c r="M46" s="1"/>
      <c r="N46" s="1"/>
      <c r="O46" s="1"/>
      <c r="P46" s="1"/>
    </row>
    <row r="47" spans="1:16">
      <c r="A47" s="11" t="s">
        <v>17</v>
      </c>
      <c r="B47" s="13">
        <v>-916.65765593000003</v>
      </c>
      <c r="C47" s="13">
        <v>-916.49796547000005</v>
      </c>
      <c r="D47" s="13">
        <v>-917.48791143200003</v>
      </c>
      <c r="E47" s="13">
        <f>D47+(C47-B47)</f>
        <v>-917.32822097200005</v>
      </c>
      <c r="F47" s="2">
        <v>9.5149391186539978E-2</v>
      </c>
      <c r="G47" s="3"/>
      <c r="M47" s="1"/>
      <c r="N47" s="1"/>
      <c r="O47" s="1"/>
      <c r="P47" s="1"/>
    </row>
    <row r="48" spans="1:16">
      <c r="D48" s="4" t="s">
        <v>41</v>
      </c>
      <c r="E48" s="4">
        <f>E44*F44+E45*F45+E46*F46+E47*F47</f>
        <v>-917.32937352861484</v>
      </c>
      <c r="G48" s="3"/>
      <c r="M48" s="1"/>
      <c r="N48" s="1"/>
      <c r="O48" s="1"/>
      <c r="P48" s="1"/>
    </row>
    <row r="49" spans="1:16">
      <c r="G49" s="3"/>
      <c r="M49" s="1"/>
      <c r="N49" s="1"/>
      <c r="O49" s="1"/>
      <c r="P49" s="1"/>
    </row>
    <row r="50" spans="1:16">
      <c r="A50" s="11" t="s">
        <v>14</v>
      </c>
      <c r="B50" s="13">
        <v>-916.16614334999997</v>
      </c>
      <c r="C50" s="13">
        <v>-916.01787203000004</v>
      </c>
      <c r="D50" s="13">
        <v>-917.01313997499994</v>
      </c>
      <c r="E50" s="13">
        <f>D50+(C50-B50)</f>
        <v>-916.86486865500001</v>
      </c>
      <c r="F50" s="2">
        <v>1</v>
      </c>
      <c r="G50" s="3"/>
      <c r="M50" s="1"/>
      <c r="N50" s="1"/>
      <c r="O50" s="1"/>
      <c r="P50" s="1"/>
    </row>
    <row r="51" spans="1:16">
      <c r="D51" s="4" t="s">
        <v>41</v>
      </c>
      <c r="E51" s="4">
        <f>E50*F50</f>
        <v>-916.86486865500001</v>
      </c>
      <c r="G51" s="3">
        <f>((E51-E48)*2625.5+$J$2)*$J$3</f>
        <v>15.52833332598837</v>
      </c>
      <c r="M51" s="1"/>
      <c r="N51" s="1"/>
      <c r="O51" s="1"/>
      <c r="P51" s="1"/>
    </row>
    <row r="52" spans="1:16">
      <c r="G52" s="3"/>
      <c r="M52" s="1"/>
      <c r="N52" s="1"/>
      <c r="O52" s="1"/>
      <c r="P52" s="1"/>
    </row>
    <row r="53" spans="1:16">
      <c r="A53" s="11" t="s">
        <v>21</v>
      </c>
      <c r="B53" s="13">
        <v>-874.03258159999996</v>
      </c>
      <c r="C53" s="13">
        <v>-873.94894472999999</v>
      </c>
      <c r="D53" s="13">
        <v>-874.82561133900003</v>
      </c>
      <c r="E53" s="13">
        <f>D53+(C53-B53)</f>
        <v>-874.74197446900007</v>
      </c>
      <c r="F53" s="2">
        <v>0.34474820306928639</v>
      </c>
      <c r="G53" s="3"/>
      <c r="M53" s="1"/>
      <c r="N53" s="1"/>
      <c r="O53" s="1"/>
      <c r="P53" s="1"/>
    </row>
    <row r="54" spans="1:16">
      <c r="A54" s="11" t="s">
        <v>22</v>
      </c>
      <c r="B54" s="13">
        <v>-874.03180750000001</v>
      </c>
      <c r="C54" s="13">
        <v>-873.94738321</v>
      </c>
      <c r="D54" s="13">
        <v>-874.82444821199999</v>
      </c>
      <c r="E54" s="13">
        <f>D54+(C54-B54)</f>
        <v>-874.74002392199998</v>
      </c>
      <c r="F54" s="2">
        <v>4.3589284552573493E-2</v>
      </c>
      <c r="G54" s="3"/>
      <c r="M54" s="1"/>
      <c r="N54" s="1"/>
      <c r="O54" s="1"/>
      <c r="P54" s="1"/>
    </row>
    <row r="55" spans="1:16">
      <c r="A55" s="11" t="s">
        <v>23</v>
      </c>
      <c r="B55" s="13">
        <v>-874.03269044000001</v>
      </c>
      <c r="C55" s="13">
        <v>-873.94906557000002</v>
      </c>
      <c r="D55" s="13">
        <v>-874.82614014000001</v>
      </c>
      <c r="E55" s="13">
        <f>D55+(C55-B55)</f>
        <v>-874.74251527000001</v>
      </c>
      <c r="F55" s="2">
        <v>0.61166251237814007</v>
      </c>
      <c r="G55" s="3"/>
      <c r="M55" s="1"/>
      <c r="N55" s="1"/>
      <c r="O55" s="1"/>
      <c r="P55" s="1"/>
    </row>
    <row r="56" spans="1:16">
      <c r="D56" s="4" t="s">
        <v>41</v>
      </c>
      <c r="E56" s="4">
        <f>E53*F53+E54*F54+E55*F55</f>
        <v>-874.74222023375012</v>
      </c>
      <c r="G56" s="3"/>
      <c r="M56" s="1"/>
      <c r="N56" s="1"/>
      <c r="O56" s="1"/>
      <c r="P56" s="1"/>
    </row>
    <row r="57" spans="1:16">
      <c r="G57" s="3"/>
      <c r="M57" s="1"/>
      <c r="N57" s="1"/>
      <c r="O57" s="1"/>
      <c r="P57" s="1"/>
    </row>
    <row r="58" spans="1:16">
      <c r="A58" s="11" t="s">
        <v>20</v>
      </c>
      <c r="B58" s="13">
        <v>-873.55006493999997</v>
      </c>
      <c r="C58" s="13">
        <v>-873.47669280000002</v>
      </c>
      <c r="D58" s="13">
        <v>-874.358510217</v>
      </c>
      <c r="E58" s="13">
        <f>D58+(C58-B58)</f>
        <v>-874.28513807700006</v>
      </c>
      <c r="F58" s="2">
        <v>1</v>
      </c>
      <c r="G58" s="3"/>
      <c r="M58" s="1"/>
      <c r="N58" s="1"/>
      <c r="O58" s="1"/>
      <c r="P58" s="1"/>
    </row>
    <row r="59" spans="1:16">
      <c r="D59" s="4" t="s">
        <v>41</v>
      </c>
      <c r="E59" s="4">
        <f>E58*F58</f>
        <v>-874.28513807700006</v>
      </c>
      <c r="G59" s="3">
        <f>((E59-E56)*2625.5+$J$2)*$J$3</f>
        <v>12.114742278853916</v>
      </c>
      <c r="M59" s="1"/>
      <c r="N59" s="1"/>
      <c r="O59" s="1"/>
      <c r="P59" s="1"/>
    </row>
    <row r="60" spans="1:16">
      <c r="G60" s="3"/>
      <c r="M60" s="1"/>
      <c r="N60" s="1"/>
      <c r="O60" s="1"/>
      <c r="P60" s="1"/>
    </row>
    <row r="61" spans="1:16">
      <c r="A61" s="11" t="s">
        <v>63</v>
      </c>
      <c r="B61" s="13">
        <v>-1333.48002176</v>
      </c>
      <c r="C61" s="13">
        <v>-1333.4073521800001</v>
      </c>
      <c r="D61" s="13">
        <v>-1334.42892807</v>
      </c>
      <c r="E61" s="13">
        <f>D61+(C61-B61)</f>
        <v>-1334.3562584900001</v>
      </c>
      <c r="F61" s="2">
        <v>0.78169805892285893</v>
      </c>
      <c r="G61" s="3"/>
      <c r="M61" s="1"/>
      <c r="N61" s="1"/>
      <c r="O61" s="1"/>
      <c r="P61" s="1"/>
    </row>
    <row r="62" spans="1:16">
      <c r="A62" s="11" t="s">
        <v>25</v>
      </c>
      <c r="B62" s="13">
        <v>-1333.4791192600001</v>
      </c>
      <c r="C62" s="13">
        <v>-1333.4065215099999</v>
      </c>
      <c r="D62" s="13">
        <v>-1334.4276531</v>
      </c>
      <c r="E62" s="13">
        <f>D62+(C62-B62)</f>
        <v>-1334.3550553499999</v>
      </c>
      <c r="F62" s="2">
        <v>0.21830194107714096</v>
      </c>
      <c r="G62" s="3"/>
      <c r="M62" s="1"/>
      <c r="N62" s="1"/>
      <c r="O62" s="1"/>
      <c r="P62" s="1"/>
    </row>
    <row r="63" spans="1:16">
      <c r="D63" s="4" t="s">
        <v>41</v>
      </c>
      <c r="E63" s="4">
        <f>E61*F61+E62*F62</f>
        <v>-1334.3559958422024</v>
      </c>
      <c r="G63" s="3"/>
      <c r="M63" s="1"/>
      <c r="N63" s="1"/>
      <c r="O63" s="1"/>
      <c r="P63" s="1"/>
    </row>
    <row r="64" spans="1:16">
      <c r="G64" s="3"/>
    </row>
    <row r="65" spans="1:7">
      <c r="A65" s="11" t="s">
        <v>64</v>
      </c>
      <c r="B65" s="13">
        <v>-1332.99823214</v>
      </c>
      <c r="C65" s="13">
        <v>-1332.9371136899999</v>
      </c>
      <c r="D65" s="13">
        <v>-1333.96237825</v>
      </c>
      <c r="E65" s="13">
        <f>D65+(C65-B65)</f>
        <v>-1333.9012597999999</v>
      </c>
      <c r="F65" s="2">
        <v>0.58521797238882844</v>
      </c>
      <c r="G65" s="3"/>
    </row>
    <row r="66" spans="1:7">
      <c r="A66" s="11" t="s">
        <v>24</v>
      </c>
      <c r="B66" s="13">
        <v>-1332.99697524</v>
      </c>
      <c r="C66" s="13">
        <v>-1332.9354890699999</v>
      </c>
      <c r="D66" s="13">
        <v>-1333.9624212900001</v>
      </c>
      <c r="E66" s="13">
        <f>D66+(C66-B66)</f>
        <v>-1333.90093512</v>
      </c>
      <c r="F66" s="2">
        <v>0.41478202761117144</v>
      </c>
      <c r="G66" s="3"/>
    </row>
    <row r="67" spans="1:7">
      <c r="D67" s="4" t="s">
        <v>41</v>
      </c>
      <c r="E67" s="4">
        <f>E65*F65+E66*F66</f>
        <v>-1333.901125128571</v>
      </c>
      <c r="G67" s="3">
        <f>((E67-E63)*2625.5+$J$2)*$J$3</f>
        <v>11.097734279139404</v>
      </c>
    </row>
    <row r="68" spans="1:7">
      <c r="G68" s="3"/>
    </row>
    <row r="69" spans="1:7">
      <c r="A69" s="11" t="s">
        <v>27</v>
      </c>
      <c r="B69" s="13">
        <v>-949.18549068000004</v>
      </c>
      <c r="C69" s="13">
        <v>-949.03383681000003</v>
      </c>
      <c r="D69" s="13">
        <v>-950.05244157499999</v>
      </c>
      <c r="E69" s="13">
        <f>D69+(C69-B69)</f>
        <v>-949.90078770499997</v>
      </c>
      <c r="F69" s="2">
        <v>1</v>
      </c>
      <c r="G69" s="3"/>
    </row>
    <row r="70" spans="1:7">
      <c r="D70" s="4" t="s">
        <v>41</v>
      </c>
      <c r="E70" s="4">
        <f>E69*F69</f>
        <v>-949.90078770499997</v>
      </c>
      <c r="G70" s="3"/>
    </row>
    <row r="71" spans="1:7">
      <c r="G71" s="3"/>
    </row>
    <row r="72" spans="1:7">
      <c r="A72" s="11" t="s">
        <v>26</v>
      </c>
      <c r="B72" s="13">
        <v>-948.71307860000002</v>
      </c>
      <c r="C72" s="13">
        <v>-948.57357695999997</v>
      </c>
      <c r="D72" s="13">
        <v>-949.59489401999997</v>
      </c>
      <c r="E72" s="13">
        <f>D72+(C72-B72)</f>
        <v>-949.45539237999992</v>
      </c>
      <c r="F72" s="2">
        <v>1</v>
      </c>
      <c r="G72" s="3"/>
    </row>
    <row r="73" spans="1:7">
      <c r="D73" s="4" t="s">
        <v>41</v>
      </c>
      <c r="E73" s="4">
        <f>E72*F72</f>
        <v>-949.45539237999992</v>
      </c>
      <c r="G73" s="3">
        <f>((E73-E70)*2625.5+$J$2)*$J$3</f>
        <v>6.7401516864830233</v>
      </c>
    </row>
    <row r="74" spans="1:7">
      <c r="G74" s="3"/>
    </row>
    <row r="75" spans="1:7">
      <c r="A75" s="11" t="s">
        <v>32</v>
      </c>
      <c r="B75" s="13">
        <v>-1101.64986873</v>
      </c>
      <c r="C75" s="13">
        <v>-1101.45583762</v>
      </c>
      <c r="D75" s="13">
        <v>-1102.6911960899999</v>
      </c>
      <c r="E75" s="13">
        <f>D75+(C75-B75)</f>
        <v>-1102.49716498</v>
      </c>
      <c r="F75" s="2">
        <v>0.4342567960937127</v>
      </c>
      <c r="G75" s="3"/>
    </row>
    <row r="76" spans="1:7">
      <c r="A76" s="11" t="s">
        <v>33</v>
      </c>
      <c r="B76" s="13">
        <v>-1101.6498311099999</v>
      </c>
      <c r="C76" s="13">
        <v>-1101.45580445</v>
      </c>
      <c r="D76" s="13">
        <v>-1102.6911721199999</v>
      </c>
      <c r="E76" s="13">
        <f>D76+(C76-B76)</f>
        <v>-1102.49714546</v>
      </c>
      <c r="F76" s="2">
        <v>0.42536202110283017</v>
      </c>
      <c r="G76" s="3"/>
    </row>
    <row r="77" spans="1:7">
      <c r="A77" s="11" t="s">
        <v>34</v>
      </c>
      <c r="B77" s="13">
        <v>-1101.6466064700001</v>
      </c>
      <c r="C77" s="13">
        <v>-1101.4542243400001</v>
      </c>
      <c r="D77" s="13">
        <v>-1102.6879370500001</v>
      </c>
      <c r="E77" s="13">
        <f>D77+(C77-B77)</f>
        <v>-1102.4955549200001</v>
      </c>
      <c r="F77" s="2">
        <v>7.8777166193523068E-2</v>
      </c>
      <c r="G77" s="3"/>
    </row>
    <row r="78" spans="1:7">
      <c r="A78" s="11" t="s">
        <v>35</v>
      </c>
      <c r="B78" s="13">
        <v>-1101.6466426100001</v>
      </c>
      <c r="C78" s="13">
        <v>-1101.4539763600001</v>
      </c>
      <c r="D78" s="13">
        <v>-1102.68798924</v>
      </c>
      <c r="E78" s="13">
        <f>D78+(C78-B78)</f>
        <v>-1102.49532299</v>
      </c>
      <c r="F78" s="2">
        <v>6.1604016609933997E-2</v>
      </c>
      <c r="G78" s="3"/>
    </row>
    <row r="79" spans="1:7">
      <c r="D79" s="4" t="s">
        <v>41</v>
      </c>
      <c r="E79" s="4">
        <f>E75*F75+E76*F76+E77*F77+E78*F78</f>
        <v>-1102.4969163669864</v>
      </c>
      <c r="G79" s="3"/>
    </row>
    <row r="80" spans="1:7">
      <c r="G80" s="3"/>
    </row>
    <row r="81" spans="1:7">
      <c r="A81" s="11" t="s">
        <v>65</v>
      </c>
      <c r="B81" s="13">
        <v>-1101.1781021199999</v>
      </c>
      <c r="C81" s="13">
        <v>-1100.9955429199999</v>
      </c>
      <c r="D81" s="13">
        <v>-1102.23405929</v>
      </c>
      <c r="E81" s="13">
        <f>D81+(C81-B81)</f>
        <v>-1102.05150009</v>
      </c>
      <c r="F81" s="2">
        <v>0.44559239058973976</v>
      </c>
      <c r="G81" s="3"/>
    </row>
    <row r="82" spans="1:7">
      <c r="A82" s="11" t="s">
        <v>28</v>
      </c>
      <c r="B82" s="13">
        <v>-1101.1780648199999</v>
      </c>
      <c r="C82" s="13">
        <v>-1100.9953495</v>
      </c>
      <c r="D82" s="13">
        <v>-1102.2340472200001</v>
      </c>
      <c r="E82" s="13">
        <f>D82+(C82-B82)</f>
        <v>-1102.0513319000002</v>
      </c>
      <c r="F82" s="2">
        <v>0.37281664353192662</v>
      </c>
      <c r="G82" s="3"/>
    </row>
    <row r="83" spans="1:7">
      <c r="A83" s="11" t="s">
        <v>29</v>
      </c>
      <c r="B83" s="13">
        <v>-1101.17461869</v>
      </c>
      <c r="C83" s="13">
        <v>-1100.9936300100001</v>
      </c>
      <c r="D83" s="13">
        <v>-1102.2304249399999</v>
      </c>
      <c r="E83" s="13">
        <f>D83+(C83-B83)</f>
        <v>-1102.04943626</v>
      </c>
      <c r="F83" s="2">
        <v>4.9963718197787985E-2</v>
      </c>
      <c r="G83" s="3"/>
    </row>
    <row r="84" spans="1:7">
      <c r="A84" s="11" t="s">
        <v>30</v>
      </c>
      <c r="B84" s="13">
        <v>-1101.1746676400001</v>
      </c>
      <c r="C84" s="13">
        <v>-1100.99367422</v>
      </c>
      <c r="D84" s="13">
        <v>-1102.23057378</v>
      </c>
      <c r="E84" s="13">
        <f>D84+(C84-B84)</f>
        <v>-1102.0495803599999</v>
      </c>
      <c r="F84" s="2">
        <v>5.8211001464335346E-2</v>
      </c>
      <c r="G84" s="3"/>
    </row>
    <row r="85" spans="1:7">
      <c r="A85" s="11" t="s">
        <v>31</v>
      </c>
      <c r="B85" s="13">
        <v>-1101.17461641</v>
      </c>
      <c r="C85" s="13">
        <v>-1100.9938056399999</v>
      </c>
      <c r="D85" s="13">
        <v>-1102.2306100200001</v>
      </c>
      <c r="E85" s="13">
        <f>D85+(C85-B85)</f>
        <v>-1102.04979925</v>
      </c>
      <c r="F85" s="2">
        <v>7.3416246216210193E-2</v>
      </c>
      <c r="G85" s="3"/>
    </row>
    <row r="86" spans="1:7">
      <c r="D86" s="4" t="s">
        <v>41</v>
      </c>
      <c r="E86" s="4">
        <f>E81*F81+E82*F82+E83*F83+E84*F84+E85*F85</f>
        <v>-1102.0510976506539</v>
      </c>
      <c r="G86" s="3">
        <f>((E86-E79)*2625.5+$J$2)*$J$3</f>
        <v>6.9348627186032621</v>
      </c>
    </row>
    <row r="87" spans="1:7">
      <c r="G87" s="3"/>
    </row>
    <row r="88" spans="1:7">
      <c r="A88" s="11" t="s">
        <v>38</v>
      </c>
      <c r="B88" s="13">
        <v>-1103.87916434</v>
      </c>
      <c r="C88" s="13">
        <v>-1103.6561574499999</v>
      </c>
      <c r="D88" s="13">
        <v>-1104.91113526</v>
      </c>
      <c r="E88" s="13">
        <f>D88+(C88-B88)</f>
        <v>-1104.68812837</v>
      </c>
      <c r="F88" s="12">
        <v>0.76373710197843503</v>
      </c>
      <c r="G88" s="3"/>
    </row>
    <row r="89" spans="1:7">
      <c r="A89" s="11" t="s">
        <v>39</v>
      </c>
      <c r="B89" s="13">
        <v>-1103.8782431899999</v>
      </c>
      <c r="C89" s="13">
        <v>-1103.6550558399999</v>
      </c>
      <c r="D89" s="13">
        <v>-1104.91020908</v>
      </c>
      <c r="E89" s="13">
        <f>D89+(C89-B89)</f>
        <v>-1104.68702173</v>
      </c>
      <c r="F89" s="12">
        <v>0.236262898021565</v>
      </c>
      <c r="G89" s="3"/>
    </row>
    <row r="90" spans="1:7">
      <c r="B90" s="1"/>
      <c r="C90" s="1"/>
      <c r="D90" s="4" t="s">
        <v>41</v>
      </c>
      <c r="E90" s="4">
        <f>E88*F88+E89*F89</f>
        <v>-1104.6878669120265</v>
      </c>
      <c r="G90" s="3"/>
    </row>
    <row r="91" spans="1:7">
      <c r="A91" s="1"/>
      <c r="B91" s="1"/>
      <c r="C91" s="1"/>
      <c r="D91" s="1"/>
      <c r="E91" s="1"/>
      <c r="G91" s="3"/>
    </row>
    <row r="92" spans="1:7">
      <c r="A92" s="11" t="s">
        <v>36</v>
      </c>
      <c r="B92" s="13">
        <v>-1103.4052900199999</v>
      </c>
      <c r="C92" s="13">
        <v>-1103.1935636400001</v>
      </c>
      <c r="D92" s="13">
        <v>-1104.4516550999999</v>
      </c>
      <c r="E92" s="13">
        <f>D92+(C92-B92)</f>
        <v>-1104.2399287200001</v>
      </c>
      <c r="F92" s="2">
        <v>0.35015191340782598</v>
      </c>
      <c r="G92" s="3"/>
    </row>
    <row r="93" spans="1:7">
      <c r="A93" s="11" t="s">
        <v>37</v>
      </c>
      <c r="B93" s="13">
        <v>-1103.40604607</v>
      </c>
      <c r="C93" s="13">
        <v>-1103.19409109</v>
      </c>
      <c r="D93" s="13">
        <v>-1104.4524669499999</v>
      </c>
      <c r="E93" s="13">
        <f>D93+(C93-B93)</f>
        <v>-1104.2405119699999</v>
      </c>
      <c r="F93" s="2">
        <v>0.64984808659217397</v>
      </c>
      <c r="G93" s="3"/>
    </row>
    <row r="94" spans="1:7">
      <c r="D94" s="4" t="s">
        <v>41</v>
      </c>
      <c r="E94" s="4">
        <f>E92*F92+E93*F93</f>
        <v>-1104.2403077438964</v>
      </c>
      <c r="G94" s="3">
        <f>((E94-E90)*2625.5+$J$2)*$J$3</f>
        <v>7.7352691981118875</v>
      </c>
    </row>
    <row r="95" spans="1:7">
      <c r="G95" s="3"/>
    </row>
    <row r="96" spans="1:7">
      <c r="G96" s="3"/>
    </row>
    <row r="97" spans="1:7">
      <c r="G97" s="3"/>
    </row>
    <row r="98" spans="1:7">
      <c r="G98" s="3"/>
    </row>
    <row r="99" spans="1:7">
      <c r="G99" s="3"/>
    </row>
    <row r="100" spans="1:7">
      <c r="G100" s="3"/>
    </row>
    <row r="101" spans="1:7">
      <c r="G101" s="3"/>
    </row>
    <row r="102" spans="1:7">
      <c r="A102" s="1"/>
      <c r="B102" s="1"/>
      <c r="C102" s="1"/>
      <c r="D102" s="1"/>
      <c r="E102" s="1"/>
      <c r="G102" s="3"/>
    </row>
    <row r="103" spans="1:7">
      <c r="B103" s="1"/>
      <c r="C103" s="1"/>
      <c r="D103" s="1"/>
      <c r="E103" s="1"/>
      <c r="G103" s="3"/>
    </row>
    <row r="104" spans="1:7">
      <c r="B104" s="1"/>
      <c r="C104" s="1"/>
      <c r="D104" s="1"/>
      <c r="E104" s="1"/>
      <c r="G104" s="3"/>
    </row>
    <row r="105" spans="1:7">
      <c r="A105" s="1"/>
      <c r="B105" s="1"/>
      <c r="C105" s="1"/>
      <c r="D105" s="1"/>
      <c r="E105" s="1"/>
      <c r="G105" s="3"/>
    </row>
    <row r="106" spans="1:7">
      <c r="A106" s="1"/>
      <c r="B106" s="1"/>
      <c r="C106" s="1"/>
      <c r="D106" s="1"/>
      <c r="E106" s="1"/>
      <c r="G106" s="3"/>
    </row>
    <row r="107" spans="1:7">
      <c r="B107" s="1"/>
      <c r="C107" s="1"/>
      <c r="D107" s="1"/>
      <c r="E107" s="1"/>
      <c r="G107" s="3"/>
    </row>
    <row r="108" spans="1:7">
      <c r="B108" s="1"/>
      <c r="C108" s="1"/>
      <c r="D108" s="1"/>
      <c r="E108" s="1"/>
      <c r="G108" s="3"/>
    </row>
    <row r="109" spans="1:7">
      <c r="G109" s="3"/>
    </row>
    <row r="110" spans="1:7">
      <c r="G110" s="3"/>
    </row>
    <row r="111" spans="1:7">
      <c r="G111" s="3"/>
    </row>
    <row r="112" spans="1:7">
      <c r="G112" s="3"/>
    </row>
    <row r="113" spans="1:7">
      <c r="B113" s="1"/>
      <c r="C113" s="1"/>
      <c r="D113" s="1"/>
      <c r="E113" s="1"/>
      <c r="G113" s="3"/>
    </row>
    <row r="114" spans="1:7">
      <c r="B114" s="1"/>
      <c r="C114" s="1"/>
      <c r="D114" s="1"/>
      <c r="E114" s="1"/>
      <c r="G114" s="3"/>
    </row>
    <row r="115" spans="1:7">
      <c r="B115" s="1"/>
      <c r="C115" s="1"/>
      <c r="D115" s="1"/>
      <c r="E115" s="1"/>
      <c r="G115" s="3"/>
    </row>
    <row r="116" spans="1:7">
      <c r="A116" s="1"/>
      <c r="B116" s="1"/>
      <c r="C116" s="1"/>
      <c r="D116" s="1"/>
      <c r="E116" s="1"/>
      <c r="G116" s="3"/>
    </row>
    <row r="117" spans="1:7">
      <c r="B117" s="1"/>
      <c r="C117" s="1"/>
      <c r="D117" s="1"/>
      <c r="E117" s="1"/>
      <c r="G117" s="3"/>
    </row>
    <row r="118" spans="1:7">
      <c r="B118" s="1"/>
      <c r="C118" s="1"/>
      <c r="D118" s="1"/>
      <c r="E118" s="1"/>
      <c r="G118" s="3"/>
    </row>
    <row r="119" spans="1:7">
      <c r="A119" s="1"/>
      <c r="B119" s="1"/>
      <c r="C119" s="1"/>
      <c r="D119" s="1"/>
      <c r="E119" s="1"/>
      <c r="G119" s="3"/>
    </row>
    <row r="120" spans="1:7">
      <c r="B120" s="1"/>
      <c r="C120" s="1"/>
      <c r="D120" s="1"/>
      <c r="E120" s="1"/>
      <c r="G120" s="3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2026-07-02T18:58:34Z</dcterms:created>
  <dcterms:modified xsi:type="dcterms:W3CDTF">2026-08-10T07:57:01Z</dcterms:modified>
</cp:coreProperties>
</file>