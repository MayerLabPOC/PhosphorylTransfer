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_local/phosphorylation_publ/section8_lfer/"/>
    </mc:Choice>
  </mc:AlternateContent>
  <xr:revisionPtr revIDLastSave="0" documentId="13_ncr:1_{16CEF0A8-C633-AD45-BE30-BCF258393BC6}" xr6:coauthVersionLast="47" xr6:coauthVersionMax="47" xr10:uidLastSave="{00000000-0000-0000-0000-000000000000}"/>
  <bookViews>
    <workbookView xWindow="34020" yWindow="5420" windowWidth="30240" windowHeight="18980" xr2:uid="{ECF398FC-224A-4847-B833-550256DBC01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4" i="1" l="1"/>
  <c r="F71" i="1"/>
  <c r="E71" i="1" s="1"/>
  <c r="F19" i="1"/>
  <c r="E19" i="1" s="1"/>
  <c r="F8" i="1"/>
  <c r="F171" i="1"/>
  <c r="F170" i="1"/>
  <c r="E169" i="1"/>
  <c r="F20" i="1"/>
  <c r="E20" i="1" s="1"/>
  <c r="E167" i="1"/>
  <c r="E166" i="1"/>
  <c r="F177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70" i="1"/>
  <c r="E128" i="1"/>
  <c r="E126" i="1"/>
  <c r="E124" i="1"/>
  <c r="E122" i="1"/>
  <c r="E121" i="1"/>
  <c r="E123" i="1"/>
  <c r="E125" i="1"/>
  <c r="E127" i="1"/>
  <c r="E69" i="1"/>
  <c r="F68" i="1"/>
  <c r="F86" i="1"/>
  <c r="E86" i="1" s="1"/>
  <c r="F85" i="1"/>
  <c r="E85" i="1" s="1"/>
  <c r="F84" i="1"/>
  <c r="E84" i="1" s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F76" i="1"/>
  <c r="E76" i="1" s="1"/>
  <c r="F75" i="1"/>
  <c r="E75" i="1" s="1"/>
  <c r="F74" i="1"/>
  <c r="E74" i="1" s="1"/>
  <c r="F73" i="1"/>
  <c r="E73" i="1" s="1"/>
  <c r="F72" i="1"/>
  <c r="E72" i="1" s="1"/>
  <c r="E18" i="1"/>
  <c r="F6" i="1"/>
  <c r="E7" i="1"/>
  <c r="E113" i="1"/>
  <c r="F112" i="1"/>
  <c r="F17" i="1"/>
  <c r="F16" i="1"/>
  <c r="E8" i="1" l="1"/>
  <c r="E9" i="1"/>
  <c r="E10" i="1"/>
  <c r="E11" i="1"/>
  <c r="E12" i="1"/>
  <c r="E13" i="1"/>
  <c r="E114" i="1"/>
  <c r="E115" i="1"/>
  <c r="E116" i="1"/>
  <c r="E117" i="1"/>
  <c r="E118" i="1"/>
  <c r="E119" i="1"/>
  <c r="E1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  <c r="E68" i="1"/>
  <c r="E150" i="1"/>
  <c r="E152" i="1"/>
  <c r="E153" i="1"/>
  <c r="E154" i="1"/>
  <c r="E155" i="1"/>
  <c r="E156" i="1"/>
  <c r="E157" i="1"/>
  <c r="E158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73" i="1"/>
  <c r="E174" i="1"/>
  <c r="E175" i="1"/>
  <c r="E176" i="1"/>
  <c r="E168" i="1" l="1"/>
  <c r="E170" i="1"/>
  <c r="E165" i="1"/>
  <c r="E164" i="1"/>
  <c r="E163" i="1"/>
  <c r="E162" i="1"/>
  <c r="E161" i="1"/>
  <c r="E160" i="1"/>
  <c r="E159" i="1"/>
  <c r="F172" i="1"/>
  <c r="E172" i="1" s="1"/>
  <c r="E177" i="1"/>
  <c r="E112" i="1"/>
  <c r="E17" i="1"/>
  <c r="E6" i="1"/>
  <c r="F111" i="1"/>
  <c r="E111" i="1" s="1"/>
  <c r="F110" i="1"/>
  <c r="E110" i="1" s="1"/>
  <c r="F109" i="1"/>
  <c r="E109" i="1" s="1"/>
  <c r="E16" i="1"/>
  <c r="F15" i="1"/>
  <c r="E15" i="1" s="1"/>
  <c r="F14" i="1"/>
  <c r="E14" i="1" s="1"/>
  <c r="F5" i="1"/>
  <c r="E5" i="1" s="1"/>
  <c r="F4" i="1"/>
  <c r="E4" i="1" s="1"/>
  <c r="F3" i="1"/>
  <c r="E3" i="1" s="1"/>
  <c r="E171" i="1"/>
  <c r="E151" i="1"/>
</calcChain>
</file>

<file path=xl/sharedStrings.xml><?xml version="1.0" encoding="utf-8"?>
<sst xmlns="http://schemas.openxmlformats.org/spreadsheetml/2006/main" count="887" uniqueCount="180">
  <si>
    <t>Electrophile</t>
  </si>
  <si>
    <t>Nucleophile Name</t>
  </si>
  <si>
    <t>log k2</t>
  </si>
  <si>
    <t>JACS1984</t>
  </si>
  <si>
    <t>Source</t>
  </si>
  <si>
    <t>JACS1986</t>
  </si>
  <si>
    <t>JACS1989</t>
  </si>
  <si>
    <t>JACS1990</t>
  </si>
  <si>
    <t>JACS1965</t>
  </si>
  <si>
    <t>HOO-</t>
  </si>
  <si>
    <t>F-</t>
  </si>
  <si>
    <t>CH3CO2–</t>
  </si>
  <si>
    <t>Pyrophosphate</t>
  </si>
  <si>
    <t>JBC2011</t>
  </si>
  <si>
    <t>ATP</t>
  </si>
  <si>
    <t>JACS1999</t>
  </si>
  <si>
    <t>JACS1967</t>
  </si>
  <si>
    <t>JACS2024</t>
  </si>
  <si>
    <t>JACS1961</t>
  </si>
  <si>
    <t>k2 / M^-1 s^-1</t>
  </si>
  <si>
    <t>J.Chem.Soc.B.1970</t>
  </si>
  <si>
    <t>P8</t>
  </si>
  <si>
    <t>P7</t>
  </si>
  <si>
    <t>P5</t>
  </si>
  <si>
    <t>P6</t>
  </si>
  <si>
    <t>Amidophosphate</t>
  </si>
  <si>
    <t>Phosphohistidine</t>
  </si>
  <si>
    <t>4-nitrophenylphosphate</t>
  </si>
  <si>
    <t>2-nitrophenylphosphate</t>
  </si>
  <si>
    <t>3,5-dinitrophenylphosphate</t>
  </si>
  <si>
    <t>2-nitro-4-chlorophenylphosphate</t>
  </si>
  <si>
    <t>2,4,6-trichlorophenylphosphate</t>
  </si>
  <si>
    <t>2-chloro-4-nitrophenylphosphate</t>
  </si>
  <si>
    <t>2-nitro-4-COMe-phenylphosphate</t>
  </si>
  <si>
    <t>4-Methylpyridiniumphosphate</t>
  </si>
  <si>
    <t>Pyridiniumphosphate</t>
  </si>
  <si>
    <t>Acetylphosphate</t>
  </si>
  <si>
    <t>Benzoylphosphate</t>
  </si>
  <si>
    <t>N-methylimidazoliumphosphate</t>
  </si>
  <si>
    <t>3,4-lutidiniumphosphate</t>
  </si>
  <si>
    <t>3-Methoxypyridiniumphosphate</t>
  </si>
  <si>
    <t>3,4-lutidine</t>
  </si>
  <si>
    <t>water</t>
  </si>
  <si>
    <t>3-cyanopyridine</t>
  </si>
  <si>
    <t>3-methylpyridine</t>
  </si>
  <si>
    <t>4-methylpyridine</t>
  </si>
  <si>
    <t>4-morpholinopyridine</t>
  </si>
  <si>
    <t>4-dimethylaminopyridine</t>
  </si>
  <si>
    <t>4-cyanopyridine</t>
  </si>
  <si>
    <t>3-chloropyridine</t>
  </si>
  <si>
    <t>pyridine</t>
  </si>
  <si>
    <t>semicarbazide</t>
  </si>
  <si>
    <t>methoxyamine</t>
  </si>
  <si>
    <t>2,2,2-trifluoroethylamine</t>
  </si>
  <si>
    <t>ethylenediamine_cat</t>
  </si>
  <si>
    <t>glycinamide</t>
  </si>
  <si>
    <t>ethylenediamine</t>
  </si>
  <si>
    <t>ethylamine</t>
  </si>
  <si>
    <t>triethylenediamine</t>
  </si>
  <si>
    <t>piperidine</t>
  </si>
  <si>
    <t>quinuclidine</t>
  </si>
  <si>
    <t>3-methoxypyridine</t>
  </si>
  <si>
    <t>pyrrolidine</t>
  </si>
  <si>
    <t>4-chloropyrazole</t>
  </si>
  <si>
    <t>pyrazole</t>
  </si>
  <si>
    <t>triethylenediamine_cat</t>
  </si>
  <si>
    <t>imidazole</t>
  </si>
  <si>
    <t>morpholine</t>
  </si>
  <si>
    <t>ammonia</t>
  </si>
  <si>
    <t>methylamine</t>
  </si>
  <si>
    <t>1,2,4-triazole</t>
  </si>
  <si>
    <t>acetylhydrazide</t>
  </si>
  <si>
    <t>aminoacetonitrile</t>
  </si>
  <si>
    <t>piperazine</t>
  </si>
  <si>
    <t>hydroxylamine</t>
  </si>
  <si>
    <t>hydrazine</t>
  </si>
  <si>
    <t>glycine</t>
  </si>
  <si>
    <t>cyclohexylamine</t>
  </si>
  <si>
    <t>n-butylamine</t>
  </si>
  <si>
    <t>isopropylamine</t>
  </si>
  <si>
    <t>diethylamine</t>
  </si>
  <si>
    <t>JACS1987</t>
  </si>
  <si>
    <t>Nu_ID</t>
  </si>
  <si>
    <t>Nu1</t>
  </si>
  <si>
    <t>Nu13</t>
  </si>
  <si>
    <t>Nu21</t>
  </si>
  <si>
    <t>Nu19</t>
  </si>
  <si>
    <t>Nu18</t>
  </si>
  <si>
    <t>Nu15</t>
  </si>
  <si>
    <t>Nu12</t>
  </si>
  <si>
    <t>Nu17</t>
  </si>
  <si>
    <t>Nu2</t>
  </si>
  <si>
    <t>Nu5</t>
  </si>
  <si>
    <t>Nu4</t>
  </si>
  <si>
    <t>Nu22</t>
  </si>
  <si>
    <t>Nu3</t>
  </si>
  <si>
    <t>Nu9</t>
  </si>
  <si>
    <t>Nu10</t>
  </si>
  <si>
    <t>Nu11</t>
  </si>
  <si>
    <t>Nu14</t>
  </si>
  <si>
    <t>Nu16</t>
  </si>
  <si>
    <t>nicotinamide</t>
  </si>
  <si>
    <t>isonicotinamide</t>
  </si>
  <si>
    <t>nicotinicacid</t>
  </si>
  <si>
    <t>Nu7</t>
  </si>
  <si>
    <t>3-Methylpyridiniumphosphate</t>
  </si>
  <si>
    <t>3,5-dimethylpyridiniumphosphate</t>
  </si>
  <si>
    <t>3-aminopyridiniumphosphate</t>
  </si>
  <si>
    <t>JACS1984_2</t>
  </si>
  <si>
    <t>isoquinoliniumphosphate</t>
  </si>
  <si>
    <t>4-methoxybenzoylphosphate</t>
  </si>
  <si>
    <t>4-methylbenzoylphosphate</t>
  </si>
  <si>
    <t>4-chlorobenzoylphosphate</t>
  </si>
  <si>
    <t>3-nitrobenzoylphosphate</t>
  </si>
  <si>
    <t>4-nitrobenzoylphosphate</t>
  </si>
  <si>
    <t>3,5-dinitrobenzoylphosphate</t>
  </si>
  <si>
    <t>Phosphorylimidazole_cat</t>
  </si>
  <si>
    <t>piperazine_cat</t>
  </si>
  <si>
    <t>CF3CH2O–</t>
  </si>
  <si>
    <t>P1</t>
  </si>
  <si>
    <t>P2</t>
  </si>
  <si>
    <t>P3</t>
  </si>
  <si>
    <t>P13</t>
  </si>
  <si>
    <t>P10</t>
  </si>
  <si>
    <t>P11</t>
  </si>
  <si>
    <t>P14</t>
  </si>
  <si>
    <t>P12</t>
  </si>
  <si>
    <t>P15</t>
  </si>
  <si>
    <t>P16</t>
  </si>
  <si>
    <t>P17</t>
  </si>
  <si>
    <t>P18</t>
  </si>
  <si>
    <t>P19</t>
  </si>
  <si>
    <t>P20</t>
  </si>
  <si>
    <t>P22</t>
  </si>
  <si>
    <t>P21</t>
  </si>
  <si>
    <t>P23</t>
  </si>
  <si>
    <t>P29</t>
  </si>
  <si>
    <t>P25</t>
  </si>
  <si>
    <t>P30</t>
  </si>
  <si>
    <t>P24</t>
  </si>
  <si>
    <t>P28</t>
  </si>
  <si>
    <t>P27</t>
  </si>
  <si>
    <t>P26</t>
  </si>
  <si>
    <t>P31</t>
  </si>
  <si>
    <t>P32</t>
  </si>
  <si>
    <t>P33</t>
  </si>
  <si>
    <t>P34</t>
  </si>
  <si>
    <t>P35</t>
  </si>
  <si>
    <t>Nu57</t>
  </si>
  <si>
    <t>Nu55</t>
  </si>
  <si>
    <t>Nu58</t>
  </si>
  <si>
    <t>Nu56</t>
  </si>
  <si>
    <t>Nu35</t>
  </si>
  <si>
    <t>Nu53</t>
  </si>
  <si>
    <t>Nu54</t>
  </si>
  <si>
    <t>Nu38</t>
  </si>
  <si>
    <t>Nu36</t>
  </si>
  <si>
    <t>Nu37</t>
  </si>
  <si>
    <t>Nu44</t>
  </si>
  <si>
    <t>Nu46</t>
  </si>
  <si>
    <t>Nu45</t>
  </si>
  <si>
    <t>Nu50</t>
  </si>
  <si>
    <t>Nu18-H</t>
  </si>
  <si>
    <t>Nu48</t>
  </si>
  <si>
    <t>Nu43</t>
  </si>
  <si>
    <t>Nu49</t>
  </si>
  <si>
    <t>Nu42</t>
  </si>
  <si>
    <t>Nu41</t>
  </si>
  <si>
    <t>Nu39</t>
  </si>
  <si>
    <t>Nu31</t>
  </si>
  <si>
    <t>Nu32</t>
  </si>
  <si>
    <t>Nu33</t>
  </si>
  <si>
    <t>Nu34</t>
  </si>
  <si>
    <t>Nu30</t>
  </si>
  <si>
    <t>Nu47</t>
  </si>
  <si>
    <t>Nu52</t>
  </si>
  <si>
    <t>Nu51</t>
  </si>
  <si>
    <t>Nu40</t>
  </si>
  <si>
    <t>P_ID</t>
  </si>
  <si>
    <t>n-methylimidazole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</si>
</sst>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1" fontId="0" fillId="0" borderId="0" xfId="0" applyNumberFormat="1"/>
    <xf numFmtId="0" fontId="1" fillId="0" borderId="0" xfId="0" applyFont="1" applyFill="1"/>
    <xf numFmtId="2" fontId="1" fillId="0" borderId="0" xfId="0" applyNumberFormat="1" applyFont="1" applyFill="1"/>
    <xf numFmtId="11" fontId="0" fillId="0" borderId="0" xfId="0" applyNumberFormat="1" applyFill="1"/>
    <xf numFmtId="0" fontId="0" fillId="0" borderId="0" xfId="0" applyFill="1"/>
    <xf numFmtId="0" fontId="4" fillId="0" borderId="1" xfId="0" applyFont="1" applyFill="1" applyBorder="1" applyAlignment="1">
      <alignment horizontal="justify" vertical="center" wrapText="1"/>
    </xf>
    <xf numFmtId="11" fontId="1" fillId="0" borderId="0" xfId="0" applyNumberFormat="1" applyFont="1" applyFill="1"/>
    <xf numFmtId="0" fontId="4" fillId="0" borderId="0" xfId="0" applyFont="1" applyFill="1" applyAlignment="1">
      <alignment horizontal="justify" vertical="center" wrapText="1"/>
    </xf>
    <xf numFmtId="0" fontId="4" fillId="0" borderId="2" xfId="0" applyFont="1" applyFill="1" applyBorder="1" applyAlignment="1">
      <alignment horizontal="justify" vertical="center" wrapText="1"/>
    </xf>
    <xf numFmtId="2" fontId="0" fillId="0" borderId="0" xfId="0" applyNumberFormat="1" applyFill="1"/>
    <xf numFmtId="0" fontId="3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6EA6-5BCA-E04E-99D0-FDEA10B471F3}">
  <dimension ref="A1:G177"/>
  <sheetViews>
    <sheetView tabSelected="1" zoomScale="150" zoomScaleNormal="85" workbookViewId="0">
      <selection activeCell="A7" sqref="A7"/>
    </sheetView>
  </sheetViews>
  <sheetFormatPr baseColWidth="10" defaultRowHeight="16" x14ac:dyDescent="0.2"/>
  <cols>
    <col min="1" max="1" width="28.83203125" customWidth="1"/>
    <col min="2" max="2" width="11.5" customWidth="1"/>
    <col min="3" max="4" width="23.5" customWidth="1"/>
    <col min="5" max="5" width="10.83203125" style="1"/>
    <col min="6" max="6" width="15" style="2" customWidth="1"/>
    <col min="7" max="7" width="24.33203125" customWidth="1"/>
  </cols>
  <sheetData>
    <row r="1" spans="1:7" x14ac:dyDescent="0.2">
      <c r="A1" s="3" t="s">
        <v>0</v>
      </c>
      <c r="B1" s="3" t="s">
        <v>178</v>
      </c>
      <c r="C1" s="3" t="s">
        <v>1</v>
      </c>
      <c r="D1" s="3" t="s">
        <v>82</v>
      </c>
      <c r="E1" s="4" t="s">
        <v>2</v>
      </c>
      <c r="F1" s="5" t="s">
        <v>19</v>
      </c>
      <c r="G1" s="6" t="s">
        <v>4</v>
      </c>
    </row>
    <row r="2" spans="1:7" x14ac:dyDescent="0.2">
      <c r="A2" s="3" t="s">
        <v>35</v>
      </c>
      <c r="B2" s="3" t="s">
        <v>136</v>
      </c>
      <c r="C2" s="3" t="s">
        <v>42</v>
      </c>
      <c r="D2" s="3" t="s">
        <v>83</v>
      </c>
      <c r="E2" s="4">
        <f t="shared" ref="E2:E33" si="0">LOG10(F2)</f>
        <v>-1.9100948885606022</v>
      </c>
      <c r="F2" s="5">
        <v>1.23E-2</v>
      </c>
      <c r="G2" s="6" t="s">
        <v>3</v>
      </c>
    </row>
    <row r="3" spans="1:7" x14ac:dyDescent="0.2">
      <c r="A3" s="3" t="s">
        <v>35</v>
      </c>
      <c r="B3" s="3" t="s">
        <v>136</v>
      </c>
      <c r="C3" s="3" t="s">
        <v>9</v>
      </c>
      <c r="D3" s="3" t="s">
        <v>148</v>
      </c>
      <c r="E3" s="4">
        <f t="shared" si="0"/>
        <v>0.17609125905568124</v>
      </c>
      <c r="F3" s="5">
        <f>150/10^2</f>
        <v>1.5</v>
      </c>
      <c r="G3" s="6" t="s">
        <v>7</v>
      </c>
    </row>
    <row r="4" spans="1:7" x14ac:dyDescent="0.2">
      <c r="A4" s="3" t="s">
        <v>35</v>
      </c>
      <c r="B4" s="3" t="s">
        <v>136</v>
      </c>
      <c r="C4" s="3" t="s">
        <v>118</v>
      </c>
      <c r="D4" s="3" t="s">
        <v>149</v>
      </c>
      <c r="E4" s="4">
        <f t="shared" si="0"/>
        <v>-2.1549019599857431</v>
      </c>
      <c r="F4" s="5">
        <f>0.7/10^2</f>
        <v>6.9999999999999993E-3</v>
      </c>
      <c r="G4" s="6" t="s">
        <v>7</v>
      </c>
    </row>
    <row r="5" spans="1:7" x14ac:dyDescent="0.2">
      <c r="A5" s="3" t="s">
        <v>35</v>
      </c>
      <c r="B5" s="3" t="s">
        <v>136</v>
      </c>
      <c r="C5" s="3" t="s">
        <v>10</v>
      </c>
      <c r="D5" s="3" t="s">
        <v>150</v>
      </c>
      <c r="E5" s="4">
        <f t="shared" si="0"/>
        <v>-2.2146701649892329</v>
      </c>
      <c r="F5" s="5">
        <f>0.61/10^2</f>
        <v>6.0999999999999995E-3</v>
      </c>
      <c r="G5" s="6" t="s">
        <v>7</v>
      </c>
    </row>
    <row r="6" spans="1:7" x14ac:dyDescent="0.2">
      <c r="A6" s="3" t="s">
        <v>35</v>
      </c>
      <c r="B6" s="3" t="s">
        <v>136</v>
      </c>
      <c r="C6" s="3" t="s">
        <v>11</v>
      </c>
      <c r="D6" s="3" t="s">
        <v>151</v>
      </c>
      <c r="E6" s="4">
        <f t="shared" si="0"/>
        <v>-3.0969100130080562</v>
      </c>
      <c r="F6" s="5">
        <f>0.08/10^2</f>
        <v>8.0000000000000004E-4</v>
      </c>
      <c r="G6" s="6" t="s">
        <v>6</v>
      </c>
    </row>
    <row r="7" spans="1:7" x14ac:dyDescent="0.2">
      <c r="A7" s="3" t="s">
        <v>35</v>
      </c>
      <c r="B7" s="3" t="s">
        <v>136</v>
      </c>
      <c r="C7" s="3" t="s">
        <v>42</v>
      </c>
      <c r="D7" s="3" t="s">
        <v>83</v>
      </c>
      <c r="E7" s="4">
        <f t="shared" si="0"/>
        <v>-1.9706162223147903</v>
      </c>
      <c r="F7" s="5">
        <v>1.0699999999999999E-2</v>
      </c>
      <c r="G7" s="5" t="s">
        <v>81</v>
      </c>
    </row>
    <row r="8" spans="1:7" x14ac:dyDescent="0.2">
      <c r="A8" s="3" t="s">
        <v>35</v>
      </c>
      <c r="B8" s="3" t="s">
        <v>136</v>
      </c>
      <c r="C8" s="3" t="s">
        <v>42</v>
      </c>
      <c r="D8" s="3" t="s">
        <v>83</v>
      </c>
      <c r="E8" s="4">
        <f t="shared" si="0"/>
        <v>-2.0315170514460648</v>
      </c>
      <c r="F8" s="5">
        <f>0.0093</f>
        <v>9.2999999999999992E-3</v>
      </c>
      <c r="G8" s="5" t="s">
        <v>20</v>
      </c>
    </row>
    <row r="9" spans="1:7" x14ac:dyDescent="0.2">
      <c r="A9" s="3" t="s">
        <v>35</v>
      </c>
      <c r="B9" s="3" t="s">
        <v>136</v>
      </c>
      <c r="C9" s="3" t="s">
        <v>64</v>
      </c>
      <c r="D9" s="3" t="s">
        <v>152</v>
      </c>
      <c r="E9" s="4">
        <f t="shared" si="0"/>
        <v>-0.86966623150499389</v>
      </c>
      <c r="F9" s="5">
        <v>0.13500000000000001</v>
      </c>
      <c r="G9" s="5" t="s">
        <v>20</v>
      </c>
    </row>
    <row r="10" spans="1:7" x14ac:dyDescent="0.2">
      <c r="A10" s="3" t="s">
        <v>35</v>
      </c>
      <c r="B10" s="3" t="s">
        <v>136</v>
      </c>
      <c r="C10" s="3" t="s">
        <v>67</v>
      </c>
      <c r="D10" s="3" t="s">
        <v>86</v>
      </c>
      <c r="E10" s="4">
        <f t="shared" si="0"/>
        <v>0.64345267648618742</v>
      </c>
      <c r="F10" s="5">
        <v>4.4000000000000004</v>
      </c>
      <c r="G10" s="5" t="s">
        <v>20</v>
      </c>
    </row>
    <row r="11" spans="1:7" x14ac:dyDescent="0.2">
      <c r="A11" s="3" t="s">
        <v>35</v>
      </c>
      <c r="B11" s="3" t="s">
        <v>136</v>
      </c>
      <c r="C11" s="3" t="s">
        <v>58</v>
      </c>
      <c r="D11" s="3" t="s">
        <v>153</v>
      </c>
      <c r="E11" s="4">
        <f t="shared" si="0"/>
        <v>1.1631613749770184</v>
      </c>
      <c r="F11" s="5">
        <v>14.56</v>
      </c>
      <c r="G11" s="5" t="s">
        <v>20</v>
      </c>
    </row>
    <row r="12" spans="1:7" x14ac:dyDescent="0.2">
      <c r="A12" s="3" t="s">
        <v>35</v>
      </c>
      <c r="B12" s="3" t="s">
        <v>136</v>
      </c>
      <c r="C12" s="6" t="s">
        <v>68</v>
      </c>
      <c r="D12" s="6" t="s">
        <v>155</v>
      </c>
      <c r="E12" s="4">
        <f t="shared" si="0"/>
        <v>-0.17652577082969892</v>
      </c>
      <c r="F12" s="5">
        <v>0.66600000000000004</v>
      </c>
      <c r="G12" s="5" t="s">
        <v>20</v>
      </c>
    </row>
    <row r="13" spans="1:7" x14ac:dyDescent="0.2">
      <c r="A13" s="3" t="s">
        <v>35</v>
      </c>
      <c r="B13" s="3" t="s">
        <v>136</v>
      </c>
      <c r="C13" s="6" t="s">
        <v>69</v>
      </c>
      <c r="D13" s="6" t="s">
        <v>89</v>
      </c>
      <c r="E13" s="4">
        <f t="shared" si="0"/>
        <v>0.72835378202122847</v>
      </c>
      <c r="F13" s="5">
        <v>5.35</v>
      </c>
      <c r="G13" s="5" t="s">
        <v>20</v>
      </c>
    </row>
    <row r="14" spans="1:7" x14ac:dyDescent="0.2">
      <c r="A14" s="6" t="s">
        <v>34</v>
      </c>
      <c r="B14" s="6" t="s">
        <v>137</v>
      </c>
      <c r="C14" s="3" t="s">
        <v>9</v>
      </c>
      <c r="D14" s="3" t="s">
        <v>148</v>
      </c>
      <c r="E14" s="4">
        <f t="shared" si="0"/>
        <v>-0.31875876262441277</v>
      </c>
      <c r="F14" s="5">
        <f>480/10^3</f>
        <v>0.48</v>
      </c>
      <c r="G14" s="6" t="s">
        <v>7</v>
      </c>
    </row>
    <row r="15" spans="1:7" x14ac:dyDescent="0.2">
      <c r="A15" s="6" t="s">
        <v>34</v>
      </c>
      <c r="B15" s="6" t="s">
        <v>137</v>
      </c>
      <c r="C15" s="3" t="s">
        <v>118</v>
      </c>
      <c r="D15" s="3" t="s">
        <v>149</v>
      </c>
      <c r="E15" s="4">
        <f t="shared" si="0"/>
        <v>-2.744727494896694</v>
      </c>
      <c r="F15" s="5">
        <f>1.8/10^3</f>
        <v>1.8E-3</v>
      </c>
      <c r="G15" s="6" t="s">
        <v>7</v>
      </c>
    </row>
    <row r="16" spans="1:7" x14ac:dyDescent="0.2">
      <c r="A16" s="6" t="s">
        <v>34</v>
      </c>
      <c r="B16" s="6" t="s">
        <v>137</v>
      </c>
      <c r="C16" s="3" t="s">
        <v>10</v>
      </c>
      <c r="D16" s="3" t="s">
        <v>150</v>
      </c>
      <c r="E16" s="4">
        <f t="shared" si="0"/>
        <v>-2.7986028756795487</v>
      </c>
      <c r="F16" s="5">
        <f>1.59/10^3</f>
        <v>1.5900000000000001E-3</v>
      </c>
      <c r="G16" s="6" t="s">
        <v>7</v>
      </c>
    </row>
    <row r="17" spans="1:7" x14ac:dyDescent="0.2">
      <c r="A17" s="6" t="s">
        <v>34</v>
      </c>
      <c r="B17" s="6" t="s">
        <v>137</v>
      </c>
      <c r="C17" s="3" t="s">
        <v>11</v>
      </c>
      <c r="D17" s="3" t="s">
        <v>151</v>
      </c>
      <c r="E17" s="4">
        <f t="shared" si="0"/>
        <v>-3.8860566476931631</v>
      </c>
      <c r="F17" s="5">
        <f>0.13/10^3</f>
        <v>1.3000000000000002E-4</v>
      </c>
      <c r="G17" s="6" t="s">
        <v>6</v>
      </c>
    </row>
    <row r="18" spans="1:7" x14ac:dyDescent="0.2">
      <c r="A18" s="6" t="s">
        <v>34</v>
      </c>
      <c r="B18" s="6" t="s">
        <v>137</v>
      </c>
      <c r="C18" s="6" t="s">
        <v>42</v>
      </c>
      <c r="D18" s="6" t="s">
        <v>83</v>
      </c>
      <c r="E18" s="4">
        <f t="shared" si="0"/>
        <v>-2.7986028756795487</v>
      </c>
      <c r="F18" s="5">
        <v>1.5900000000000001E-3</v>
      </c>
      <c r="G18" s="5" t="s">
        <v>81</v>
      </c>
    </row>
    <row r="19" spans="1:7" x14ac:dyDescent="0.2">
      <c r="A19" s="6" t="s">
        <v>34</v>
      </c>
      <c r="B19" s="6" t="s">
        <v>137</v>
      </c>
      <c r="C19" s="6" t="s">
        <v>42</v>
      </c>
      <c r="D19" s="6" t="s">
        <v>83</v>
      </c>
      <c r="E19" s="4">
        <f t="shared" si="0"/>
        <v>-2.779891911959945</v>
      </c>
      <c r="F19" s="5">
        <f>0.00166</f>
        <v>1.66E-3</v>
      </c>
      <c r="G19" s="5" t="s">
        <v>20</v>
      </c>
    </row>
    <row r="20" spans="1:7" x14ac:dyDescent="0.2">
      <c r="A20" s="6" t="s">
        <v>34</v>
      </c>
      <c r="B20" s="6" t="s">
        <v>137</v>
      </c>
      <c r="C20" s="6" t="s">
        <v>42</v>
      </c>
      <c r="D20" s="6" t="s">
        <v>83</v>
      </c>
      <c r="E20" s="4">
        <f t="shared" si="0"/>
        <v>-2.6078895349886864</v>
      </c>
      <c r="F20" s="5">
        <f>0.148/60</f>
        <v>2.4666666666666665E-3</v>
      </c>
      <c r="G20" s="5" t="s">
        <v>8</v>
      </c>
    </row>
    <row r="21" spans="1:7" x14ac:dyDescent="0.2">
      <c r="A21" s="6" t="s">
        <v>34</v>
      </c>
      <c r="B21" s="6" t="s">
        <v>137</v>
      </c>
      <c r="C21" s="6" t="s">
        <v>63</v>
      </c>
      <c r="D21" s="6" t="s">
        <v>156</v>
      </c>
      <c r="E21" s="4">
        <f t="shared" si="0"/>
        <v>-2.0236500209967265</v>
      </c>
      <c r="F21" s="6">
        <v>9.4699999999999993E-3</v>
      </c>
      <c r="G21" s="5" t="s">
        <v>20</v>
      </c>
    </row>
    <row r="22" spans="1:7" x14ac:dyDescent="0.2">
      <c r="A22" s="6" t="s">
        <v>34</v>
      </c>
      <c r="B22" s="6" t="s">
        <v>137</v>
      </c>
      <c r="C22" s="6" t="s">
        <v>70</v>
      </c>
      <c r="D22" s="6" t="s">
        <v>157</v>
      </c>
      <c r="E22" s="4">
        <f t="shared" si="0"/>
        <v>-1.7695510786217261</v>
      </c>
      <c r="F22" s="6">
        <v>1.7000000000000001E-2</v>
      </c>
      <c r="G22" s="5" t="s">
        <v>20</v>
      </c>
    </row>
    <row r="23" spans="1:7" x14ac:dyDescent="0.2">
      <c r="A23" s="6" t="s">
        <v>34</v>
      </c>
      <c r="B23" s="6" t="s">
        <v>137</v>
      </c>
      <c r="C23" s="6" t="s">
        <v>64</v>
      </c>
      <c r="D23" s="6" t="s">
        <v>152</v>
      </c>
      <c r="E23" s="4">
        <f t="shared" si="0"/>
        <v>-1.5072396109731625</v>
      </c>
      <c r="F23" s="6">
        <v>3.1099999999999999E-2</v>
      </c>
      <c r="G23" s="5" t="s">
        <v>20</v>
      </c>
    </row>
    <row r="24" spans="1:7" x14ac:dyDescent="0.2">
      <c r="A24" s="6" t="s">
        <v>34</v>
      </c>
      <c r="B24" s="6" t="s">
        <v>137</v>
      </c>
      <c r="C24" s="6" t="s">
        <v>71</v>
      </c>
      <c r="D24" s="6" t="s">
        <v>158</v>
      </c>
      <c r="E24" s="4">
        <f t="shared" si="0"/>
        <v>-1.7304870557820837</v>
      </c>
      <c r="F24" s="6">
        <v>1.8599999999999998E-2</v>
      </c>
      <c r="G24" s="5" t="s">
        <v>20</v>
      </c>
    </row>
    <row r="25" spans="1:7" x14ac:dyDescent="0.2">
      <c r="A25" s="6" t="s">
        <v>34</v>
      </c>
      <c r="B25" s="6" t="s">
        <v>137</v>
      </c>
      <c r="C25" s="6" t="s">
        <v>65</v>
      </c>
      <c r="D25" s="6" t="s">
        <v>154</v>
      </c>
      <c r="E25" s="4">
        <f t="shared" si="0"/>
        <v>-0.17134010346468015</v>
      </c>
      <c r="F25" s="6">
        <v>0.67400000000000004</v>
      </c>
      <c r="G25" s="5" t="s">
        <v>20</v>
      </c>
    </row>
    <row r="26" spans="1:7" x14ac:dyDescent="0.2">
      <c r="A26" s="6" t="s">
        <v>34</v>
      </c>
      <c r="B26" s="6" t="s">
        <v>137</v>
      </c>
      <c r="C26" s="6" t="s">
        <v>51</v>
      </c>
      <c r="D26" s="6" t="s">
        <v>160</v>
      </c>
      <c r="E26" s="4">
        <f t="shared" si="0"/>
        <v>-1.7399286120149251</v>
      </c>
      <c r="F26" s="6">
        <v>1.8200000000000001E-2</v>
      </c>
      <c r="G26" s="5" t="s">
        <v>20</v>
      </c>
    </row>
    <row r="27" spans="1:7" x14ac:dyDescent="0.2">
      <c r="A27" s="6" t="s">
        <v>34</v>
      </c>
      <c r="B27" s="6" t="s">
        <v>137</v>
      </c>
      <c r="C27" s="6" t="s">
        <v>52</v>
      </c>
      <c r="D27" s="6" t="s">
        <v>159</v>
      </c>
      <c r="E27" s="4">
        <f t="shared" si="0"/>
        <v>-1.3968556273798178</v>
      </c>
      <c r="F27" s="6">
        <v>4.0099999999999997E-2</v>
      </c>
      <c r="G27" s="5" t="s">
        <v>20</v>
      </c>
    </row>
    <row r="28" spans="1:7" x14ac:dyDescent="0.2">
      <c r="A28" s="6" t="s">
        <v>34</v>
      </c>
      <c r="B28" s="6" t="s">
        <v>137</v>
      </c>
      <c r="C28" s="6" t="s">
        <v>72</v>
      </c>
      <c r="D28" s="6" t="s">
        <v>161</v>
      </c>
      <c r="E28" s="4">
        <f t="shared" si="0"/>
        <v>-1.0065637695023884</v>
      </c>
      <c r="F28" s="6">
        <v>9.8500000000000004E-2</v>
      </c>
      <c r="G28" s="5" t="s">
        <v>20</v>
      </c>
    </row>
    <row r="29" spans="1:7" x14ac:dyDescent="0.2">
      <c r="A29" s="6" t="s">
        <v>34</v>
      </c>
      <c r="B29" s="6" t="s">
        <v>137</v>
      </c>
      <c r="C29" s="6" t="s">
        <v>117</v>
      </c>
      <c r="D29" s="6" t="s">
        <v>162</v>
      </c>
      <c r="E29" s="4">
        <f t="shared" si="0"/>
        <v>-0.25181197299379954</v>
      </c>
      <c r="F29" s="6">
        <v>0.56000000000000005</v>
      </c>
      <c r="G29" s="5" t="s">
        <v>20</v>
      </c>
    </row>
    <row r="30" spans="1:7" x14ac:dyDescent="0.2">
      <c r="A30" s="6" t="s">
        <v>34</v>
      </c>
      <c r="B30" s="6" t="s">
        <v>137</v>
      </c>
      <c r="C30" s="6" t="s">
        <v>74</v>
      </c>
      <c r="D30" s="6" t="s">
        <v>84</v>
      </c>
      <c r="E30" s="4">
        <f t="shared" si="0"/>
        <v>0</v>
      </c>
      <c r="F30" s="6">
        <v>1</v>
      </c>
      <c r="G30" s="5" t="s">
        <v>20</v>
      </c>
    </row>
    <row r="31" spans="1:7" x14ac:dyDescent="0.2">
      <c r="A31" s="6" t="s">
        <v>34</v>
      </c>
      <c r="B31" s="6" t="s">
        <v>137</v>
      </c>
      <c r="C31" s="6" t="s">
        <v>66</v>
      </c>
      <c r="D31" s="6" t="s">
        <v>85</v>
      </c>
      <c r="E31" s="4">
        <f t="shared" si="0"/>
        <v>-0.6777807052660807</v>
      </c>
      <c r="F31" s="6">
        <v>0.21</v>
      </c>
      <c r="G31" s="5" t="s">
        <v>20</v>
      </c>
    </row>
    <row r="32" spans="1:7" x14ac:dyDescent="0.2">
      <c r="A32" s="6" t="s">
        <v>34</v>
      </c>
      <c r="B32" s="6" t="s">
        <v>137</v>
      </c>
      <c r="C32" s="6" t="s">
        <v>54</v>
      </c>
      <c r="D32" s="6" t="s">
        <v>163</v>
      </c>
      <c r="E32" s="4">
        <f t="shared" si="0"/>
        <v>-0.11182050608167508</v>
      </c>
      <c r="F32" s="6">
        <v>0.77300000000000002</v>
      </c>
      <c r="G32" s="5" t="s">
        <v>20</v>
      </c>
    </row>
    <row r="33" spans="1:7" x14ac:dyDescent="0.2">
      <c r="A33" s="6" t="s">
        <v>34</v>
      </c>
      <c r="B33" s="6" t="s">
        <v>137</v>
      </c>
      <c r="C33" s="6" t="s">
        <v>75</v>
      </c>
      <c r="D33" s="6" t="s">
        <v>164</v>
      </c>
      <c r="E33" s="4">
        <f t="shared" si="0"/>
        <v>0.19312459835446161</v>
      </c>
      <c r="F33" s="6">
        <v>1.56</v>
      </c>
      <c r="G33" s="5" t="s">
        <v>20</v>
      </c>
    </row>
    <row r="34" spans="1:7" x14ac:dyDescent="0.2">
      <c r="A34" s="6" t="s">
        <v>34</v>
      </c>
      <c r="B34" s="6" t="s">
        <v>137</v>
      </c>
      <c r="C34" s="6" t="s">
        <v>67</v>
      </c>
      <c r="D34" s="6" t="s">
        <v>86</v>
      </c>
      <c r="E34" s="4">
        <f t="shared" ref="E34:E65" si="1">LOG10(F34)</f>
        <v>1.703333929878037E-2</v>
      </c>
      <c r="F34" s="6">
        <v>1.04</v>
      </c>
      <c r="G34" s="5" t="s">
        <v>20</v>
      </c>
    </row>
    <row r="35" spans="1:7" x14ac:dyDescent="0.2">
      <c r="A35" s="6" t="s">
        <v>34</v>
      </c>
      <c r="B35" s="6" t="s">
        <v>137</v>
      </c>
      <c r="C35" s="6" t="s">
        <v>58</v>
      </c>
      <c r="D35" s="6" t="s">
        <v>153</v>
      </c>
      <c r="E35" s="4">
        <f t="shared" si="1"/>
        <v>0.52374646681156445</v>
      </c>
      <c r="F35" s="6">
        <v>3.34</v>
      </c>
      <c r="G35" s="5" t="s">
        <v>20</v>
      </c>
    </row>
    <row r="36" spans="1:7" x14ac:dyDescent="0.2">
      <c r="A36" s="6" t="s">
        <v>34</v>
      </c>
      <c r="B36" s="6" t="s">
        <v>137</v>
      </c>
      <c r="C36" s="6" t="s">
        <v>68</v>
      </c>
      <c r="D36" s="6" t="s">
        <v>155</v>
      </c>
      <c r="E36" s="4">
        <f t="shared" si="1"/>
        <v>-0.83564714421556296</v>
      </c>
      <c r="F36" s="6">
        <v>0.14599999999999999</v>
      </c>
      <c r="G36" s="5" t="s">
        <v>20</v>
      </c>
    </row>
    <row r="37" spans="1:7" x14ac:dyDescent="0.2">
      <c r="A37" s="6" t="s">
        <v>34</v>
      </c>
      <c r="B37" s="6" t="s">
        <v>137</v>
      </c>
      <c r="C37" s="6" t="s">
        <v>76</v>
      </c>
      <c r="D37" s="6" t="s">
        <v>165</v>
      </c>
      <c r="E37" s="4">
        <f t="shared" si="1"/>
        <v>-0.41907502432438071</v>
      </c>
      <c r="F37" s="6">
        <v>0.38100000000000001</v>
      </c>
      <c r="G37" s="5" t="s">
        <v>20</v>
      </c>
    </row>
    <row r="38" spans="1:7" x14ac:dyDescent="0.2">
      <c r="A38" s="6" t="s">
        <v>34</v>
      </c>
      <c r="B38" s="6" t="s">
        <v>137</v>
      </c>
      <c r="C38" s="6" t="s">
        <v>73</v>
      </c>
      <c r="D38" s="6" t="s">
        <v>87</v>
      </c>
      <c r="E38" s="4">
        <f t="shared" si="1"/>
        <v>0.27646180417324412</v>
      </c>
      <c r="F38" s="6">
        <v>1.89</v>
      </c>
      <c r="G38" s="5" t="s">
        <v>20</v>
      </c>
    </row>
    <row r="39" spans="1:7" x14ac:dyDescent="0.2">
      <c r="A39" s="6" t="s">
        <v>34</v>
      </c>
      <c r="B39" s="6" t="s">
        <v>137</v>
      </c>
      <c r="C39" s="6" t="s">
        <v>77</v>
      </c>
      <c r="D39" s="6" t="s">
        <v>88</v>
      </c>
      <c r="E39" s="4">
        <f t="shared" si="1"/>
        <v>-1.021819483062586</v>
      </c>
      <c r="F39" s="6">
        <v>9.5100000000000004E-2</v>
      </c>
      <c r="G39" s="5" t="s">
        <v>20</v>
      </c>
    </row>
    <row r="40" spans="1:7" x14ac:dyDescent="0.2">
      <c r="A40" s="6" t="s">
        <v>34</v>
      </c>
      <c r="B40" s="6" t="s">
        <v>137</v>
      </c>
      <c r="C40" s="6" t="s">
        <v>69</v>
      </c>
      <c r="D40" s="6" t="s">
        <v>89</v>
      </c>
      <c r="E40" s="4">
        <f t="shared" si="1"/>
        <v>0.35024801833416286</v>
      </c>
      <c r="F40" s="6">
        <v>2.2400000000000002</v>
      </c>
      <c r="G40" s="5" t="s">
        <v>20</v>
      </c>
    </row>
    <row r="41" spans="1:7" x14ac:dyDescent="0.2">
      <c r="A41" s="6" t="s">
        <v>34</v>
      </c>
      <c r="B41" s="6" t="s">
        <v>137</v>
      </c>
      <c r="C41" s="6" t="s">
        <v>78</v>
      </c>
      <c r="D41" s="6" t="s">
        <v>166</v>
      </c>
      <c r="E41" s="4">
        <f t="shared" si="1"/>
        <v>0.78175537465246892</v>
      </c>
      <c r="F41" s="6">
        <v>6.05</v>
      </c>
      <c r="G41" s="5" t="s">
        <v>20</v>
      </c>
    </row>
    <row r="42" spans="1:7" x14ac:dyDescent="0.2">
      <c r="A42" s="6" t="s">
        <v>34</v>
      </c>
      <c r="B42" s="6" t="s">
        <v>137</v>
      </c>
      <c r="C42" s="6" t="s">
        <v>79</v>
      </c>
      <c r="D42" s="6" t="s">
        <v>167</v>
      </c>
      <c r="E42" s="4">
        <f t="shared" si="1"/>
        <v>-1.0030507515046188</v>
      </c>
      <c r="F42" s="6">
        <v>9.9299999999999999E-2</v>
      </c>
      <c r="G42" s="5" t="s">
        <v>20</v>
      </c>
    </row>
    <row r="43" spans="1:7" x14ac:dyDescent="0.2">
      <c r="A43" s="6" t="s">
        <v>34</v>
      </c>
      <c r="B43" s="6" t="s">
        <v>137</v>
      </c>
      <c r="C43" s="6" t="s">
        <v>59</v>
      </c>
      <c r="D43" s="6" t="s">
        <v>90</v>
      </c>
      <c r="E43" s="4">
        <f t="shared" si="1"/>
        <v>-8.3309926200514969E-3</v>
      </c>
      <c r="F43" s="6">
        <v>0.98099999999999998</v>
      </c>
      <c r="G43" s="5" t="s">
        <v>20</v>
      </c>
    </row>
    <row r="44" spans="1:7" ht="17" thickBot="1" x14ac:dyDescent="0.25">
      <c r="A44" s="6" t="s">
        <v>34</v>
      </c>
      <c r="B44" s="6" t="s">
        <v>137</v>
      </c>
      <c r="C44" s="6" t="s">
        <v>80</v>
      </c>
      <c r="D44" s="6" t="s">
        <v>168</v>
      </c>
      <c r="E44" s="4">
        <f t="shared" si="1"/>
        <v>-1.6197887582883939</v>
      </c>
      <c r="F44" s="6">
        <v>2.4E-2</v>
      </c>
      <c r="G44" s="5" t="s">
        <v>20</v>
      </c>
    </row>
    <row r="45" spans="1:7" x14ac:dyDescent="0.2">
      <c r="A45" s="6" t="s">
        <v>40</v>
      </c>
      <c r="B45" s="6" t="s">
        <v>138</v>
      </c>
      <c r="C45" s="3" t="s">
        <v>43</v>
      </c>
      <c r="D45" s="7" t="s">
        <v>96</v>
      </c>
      <c r="E45" s="4">
        <f t="shared" si="1"/>
        <v>-7.5720713938118356E-2</v>
      </c>
      <c r="F45" s="8">
        <v>0.84</v>
      </c>
      <c r="G45" s="6" t="s">
        <v>3</v>
      </c>
    </row>
    <row r="46" spans="1:7" x14ac:dyDescent="0.2">
      <c r="A46" s="6" t="s">
        <v>40</v>
      </c>
      <c r="B46" s="6" t="s">
        <v>138</v>
      </c>
      <c r="C46" s="3" t="s">
        <v>48</v>
      </c>
      <c r="D46" s="9" t="s">
        <v>97</v>
      </c>
      <c r="E46" s="4">
        <f t="shared" si="1"/>
        <v>0.1903316981702915</v>
      </c>
      <c r="F46" s="8">
        <v>1.55</v>
      </c>
      <c r="G46" s="6" t="s">
        <v>3</v>
      </c>
    </row>
    <row r="47" spans="1:7" x14ac:dyDescent="0.2">
      <c r="A47" s="6" t="s">
        <v>40</v>
      </c>
      <c r="B47" s="6" t="s">
        <v>138</v>
      </c>
      <c r="C47" s="3" t="s">
        <v>49</v>
      </c>
      <c r="D47" s="9" t="s">
        <v>169</v>
      </c>
      <c r="E47" s="4">
        <f t="shared" si="1"/>
        <v>0.27415784926367981</v>
      </c>
      <c r="F47" s="8">
        <v>1.88</v>
      </c>
      <c r="G47" s="6" t="s">
        <v>3</v>
      </c>
    </row>
    <row r="48" spans="1:7" x14ac:dyDescent="0.2">
      <c r="A48" s="6" t="s">
        <v>40</v>
      </c>
      <c r="B48" s="6" t="s">
        <v>138</v>
      </c>
      <c r="C48" s="3" t="s">
        <v>101</v>
      </c>
      <c r="D48" s="9" t="s">
        <v>170</v>
      </c>
      <c r="E48" s="4">
        <f t="shared" si="1"/>
        <v>0.21748394421390627</v>
      </c>
      <c r="F48" s="8">
        <v>1.65</v>
      </c>
      <c r="G48" s="6" t="s">
        <v>3</v>
      </c>
    </row>
    <row r="49" spans="1:7" x14ac:dyDescent="0.2">
      <c r="A49" s="6" t="s">
        <v>40</v>
      </c>
      <c r="B49" s="6" t="s">
        <v>138</v>
      </c>
      <c r="C49" s="3" t="s">
        <v>102</v>
      </c>
      <c r="D49" s="9" t="s">
        <v>171</v>
      </c>
      <c r="E49" s="4">
        <f t="shared" si="1"/>
        <v>0.46538285144841829</v>
      </c>
      <c r="F49" s="8">
        <v>2.92</v>
      </c>
      <c r="G49" s="6" t="s">
        <v>3</v>
      </c>
    </row>
    <row r="50" spans="1:7" x14ac:dyDescent="0.2">
      <c r="A50" s="6" t="s">
        <v>40</v>
      </c>
      <c r="B50" s="6" t="s">
        <v>138</v>
      </c>
      <c r="C50" s="3" t="s">
        <v>103</v>
      </c>
      <c r="D50" s="9" t="s">
        <v>172</v>
      </c>
      <c r="E50" s="4">
        <f t="shared" si="1"/>
        <v>0.50920252233110286</v>
      </c>
      <c r="F50" s="8">
        <v>3.23</v>
      </c>
      <c r="G50" s="6" t="s">
        <v>3</v>
      </c>
    </row>
    <row r="51" spans="1:7" x14ac:dyDescent="0.2">
      <c r="A51" s="6" t="s">
        <v>40</v>
      </c>
      <c r="B51" s="6" t="s">
        <v>138</v>
      </c>
      <c r="C51" s="3" t="s">
        <v>50</v>
      </c>
      <c r="D51" s="9" t="s">
        <v>91</v>
      </c>
      <c r="E51" s="4">
        <f t="shared" si="1"/>
        <v>0.77815125038364363</v>
      </c>
      <c r="F51" s="8">
        <v>6</v>
      </c>
      <c r="G51" s="6" t="s">
        <v>3</v>
      </c>
    </row>
    <row r="52" spans="1:7" x14ac:dyDescent="0.2">
      <c r="A52" s="6" t="s">
        <v>40</v>
      </c>
      <c r="B52" s="6" t="s">
        <v>138</v>
      </c>
      <c r="C52" s="3" t="s">
        <v>44</v>
      </c>
      <c r="D52" s="9" t="s">
        <v>95</v>
      </c>
      <c r="E52" s="4">
        <f t="shared" si="1"/>
        <v>0.79239168949825389</v>
      </c>
      <c r="F52" s="8">
        <v>6.2</v>
      </c>
      <c r="G52" s="6" t="s">
        <v>3</v>
      </c>
    </row>
    <row r="53" spans="1:7" x14ac:dyDescent="0.2">
      <c r="A53" s="6" t="s">
        <v>40</v>
      </c>
      <c r="B53" s="6" t="s">
        <v>138</v>
      </c>
      <c r="C53" s="3" t="s">
        <v>45</v>
      </c>
      <c r="D53" s="9" t="s">
        <v>93</v>
      </c>
      <c r="E53" s="4">
        <f t="shared" si="1"/>
        <v>0.90848501887864974</v>
      </c>
      <c r="F53" s="8">
        <v>8.1</v>
      </c>
      <c r="G53" s="6" t="s">
        <v>3</v>
      </c>
    </row>
    <row r="54" spans="1:7" x14ac:dyDescent="0.2">
      <c r="A54" s="6" t="s">
        <v>40</v>
      </c>
      <c r="B54" s="6" t="s">
        <v>138</v>
      </c>
      <c r="C54" s="3" t="s">
        <v>41</v>
      </c>
      <c r="D54" s="9" t="s">
        <v>92</v>
      </c>
      <c r="E54" s="4">
        <f t="shared" si="1"/>
        <v>0.98677173426624487</v>
      </c>
      <c r="F54" s="8">
        <v>9.6999999999999993</v>
      </c>
      <c r="G54" s="6" t="s">
        <v>3</v>
      </c>
    </row>
    <row r="55" spans="1:7" x14ac:dyDescent="0.2">
      <c r="A55" s="6" t="s">
        <v>40</v>
      </c>
      <c r="B55" s="6" t="s">
        <v>138</v>
      </c>
      <c r="C55" s="3" t="s">
        <v>46</v>
      </c>
      <c r="D55" s="9" t="s">
        <v>98</v>
      </c>
      <c r="E55" s="4">
        <f t="shared" si="1"/>
        <v>1.146128035678238</v>
      </c>
      <c r="F55" s="8">
        <v>14</v>
      </c>
      <c r="G55" s="6" t="s">
        <v>3</v>
      </c>
    </row>
    <row r="56" spans="1:7" x14ac:dyDescent="0.2">
      <c r="A56" s="6" t="s">
        <v>40</v>
      </c>
      <c r="B56" s="6" t="s">
        <v>138</v>
      </c>
      <c r="C56" s="3" t="s">
        <v>47</v>
      </c>
      <c r="D56" s="9" t="s">
        <v>173</v>
      </c>
      <c r="E56" s="4">
        <f t="shared" si="1"/>
        <v>1.3617278360175928</v>
      </c>
      <c r="F56" s="8">
        <v>23</v>
      </c>
      <c r="G56" s="6" t="s">
        <v>3</v>
      </c>
    </row>
    <row r="57" spans="1:7" x14ac:dyDescent="0.2">
      <c r="A57" s="6" t="s">
        <v>40</v>
      </c>
      <c r="B57" s="6" t="s">
        <v>138</v>
      </c>
      <c r="C57" s="3" t="s">
        <v>51</v>
      </c>
      <c r="D57" s="9" t="s">
        <v>160</v>
      </c>
      <c r="E57" s="4">
        <f t="shared" si="1"/>
        <v>-0.82390874094431876</v>
      </c>
      <c r="F57" s="8">
        <v>0.15</v>
      </c>
      <c r="G57" s="6" t="s">
        <v>3</v>
      </c>
    </row>
    <row r="58" spans="1:7" x14ac:dyDescent="0.2">
      <c r="A58" s="6" t="s">
        <v>40</v>
      </c>
      <c r="B58" s="6" t="s">
        <v>138</v>
      </c>
      <c r="C58" s="3" t="s">
        <v>52</v>
      </c>
      <c r="D58" s="9" t="s">
        <v>159</v>
      </c>
      <c r="E58" s="4">
        <f t="shared" si="1"/>
        <v>-0.45593195564972439</v>
      </c>
      <c r="F58" s="8">
        <v>0.35</v>
      </c>
      <c r="G58" s="6" t="s">
        <v>3</v>
      </c>
    </row>
    <row r="59" spans="1:7" x14ac:dyDescent="0.2">
      <c r="A59" s="6" t="s">
        <v>40</v>
      </c>
      <c r="B59" s="6" t="s">
        <v>138</v>
      </c>
      <c r="C59" s="3" t="s">
        <v>53</v>
      </c>
      <c r="D59" s="9" t="s">
        <v>99</v>
      </c>
      <c r="E59" s="4">
        <f t="shared" si="1"/>
        <v>-0.45593195564972439</v>
      </c>
      <c r="F59" s="8">
        <v>0.35</v>
      </c>
      <c r="G59" s="6" t="s">
        <v>3</v>
      </c>
    </row>
    <row r="60" spans="1:7" x14ac:dyDescent="0.2">
      <c r="A60" s="6" t="s">
        <v>40</v>
      </c>
      <c r="B60" s="6" t="s">
        <v>138</v>
      </c>
      <c r="C60" s="3" t="s">
        <v>54</v>
      </c>
      <c r="D60" s="9" t="s">
        <v>163</v>
      </c>
      <c r="E60" s="4">
        <f t="shared" si="1"/>
        <v>0.63346845557958653</v>
      </c>
      <c r="F60" s="8">
        <v>4.3</v>
      </c>
      <c r="G60" s="6" t="s">
        <v>3</v>
      </c>
    </row>
    <row r="61" spans="1:7" x14ac:dyDescent="0.2">
      <c r="A61" s="6" t="s">
        <v>40</v>
      </c>
      <c r="B61" s="6" t="s">
        <v>138</v>
      </c>
      <c r="C61" s="3" t="s">
        <v>55</v>
      </c>
      <c r="D61" s="9" t="s">
        <v>176</v>
      </c>
      <c r="E61" s="4">
        <f t="shared" si="1"/>
        <v>0.25527250510330607</v>
      </c>
      <c r="F61" s="8">
        <v>1.8</v>
      </c>
      <c r="G61" s="6" t="s">
        <v>3</v>
      </c>
    </row>
    <row r="62" spans="1:7" x14ac:dyDescent="0.2">
      <c r="A62" s="6" t="s">
        <v>40</v>
      </c>
      <c r="B62" s="6" t="s">
        <v>138</v>
      </c>
      <c r="C62" s="3" t="s">
        <v>56</v>
      </c>
      <c r="D62" s="9" t="s">
        <v>174</v>
      </c>
      <c r="E62" s="4">
        <f t="shared" si="1"/>
        <v>0.46239799789895608</v>
      </c>
      <c r="F62" s="8">
        <v>2.9</v>
      </c>
      <c r="G62" s="6" t="s">
        <v>3</v>
      </c>
    </row>
    <row r="63" spans="1:7" x14ac:dyDescent="0.2">
      <c r="A63" s="6" t="s">
        <v>40</v>
      </c>
      <c r="B63" s="6" t="s">
        <v>138</v>
      </c>
      <c r="C63" s="3" t="s">
        <v>57</v>
      </c>
      <c r="D63" s="9" t="s">
        <v>177</v>
      </c>
      <c r="E63" s="4">
        <f t="shared" si="1"/>
        <v>0.44715803134221921</v>
      </c>
      <c r="F63" s="8">
        <v>2.8</v>
      </c>
      <c r="G63" s="6" t="s">
        <v>3</v>
      </c>
    </row>
    <row r="64" spans="1:7" x14ac:dyDescent="0.2">
      <c r="A64" s="6" t="s">
        <v>40</v>
      </c>
      <c r="B64" s="6" t="s">
        <v>138</v>
      </c>
      <c r="C64" s="3" t="s">
        <v>58</v>
      </c>
      <c r="D64" s="9" t="s">
        <v>153</v>
      </c>
      <c r="E64" s="4">
        <f t="shared" si="1"/>
        <v>0.98677173426624487</v>
      </c>
      <c r="F64" s="8">
        <v>9.6999999999999993</v>
      </c>
      <c r="G64" s="6" t="s">
        <v>3</v>
      </c>
    </row>
    <row r="65" spans="1:7" x14ac:dyDescent="0.2">
      <c r="A65" s="6" t="s">
        <v>40</v>
      </c>
      <c r="B65" s="6" t="s">
        <v>138</v>
      </c>
      <c r="C65" s="3" t="s">
        <v>59</v>
      </c>
      <c r="D65" s="9" t="s">
        <v>90</v>
      </c>
      <c r="E65" s="4">
        <f t="shared" si="1"/>
        <v>0.57978359661681012</v>
      </c>
      <c r="F65" s="8">
        <v>3.8</v>
      </c>
      <c r="G65" s="6" t="s">
        <v>3</v>
      </c>
    </row>
    <row r="66" spans="1:7" x14ac:dyDescent="0.2">
      <c r="A66" s="6" t="s">
        <v>40</v>
      </c>
      <c r="B66" s="6" t="s">
        <v>138</v>
      </c>
      <c r="C66" s="3" t="s">
        <v>60</v>
      </c>
      <c r="D66" s="9" t="s">
        <v>175</v>
      </c>
      <c r="E66" s="4">
        <f t="shared" ref="E66:E71" si="2">LOG10(F66)</f>
        <v>0.55630250076728727</v>
      </c>
      <c r="F66" s="8">
        <v>3.6</v>
      </c>
      <c r="G66" s="6" t="s">
        <v>3</v>
      </c>
    </row>
    <row r="67" spans="1:7" ht="17" thickBot="1" x14ac:dyDescent="0.25">
      <c r="A67" s="6" t="s">
        <v>40</v>
      </c>
      <c r="B67" s="6" t="s">
        <v>138</v>
      </c>
      <c r="C67" s="3" t="s">
        <v>62</v>
      </c>
      <c r="D67" s="10" t="s">
        <v>100</v>
      </c>
      <c r="E67" s="4">
        <f t="shared" si="2"/>
        <v>0.79239168949825389</v>
      </c>
      <c r="F67" s="8">
        <v>6.2</v>
      </c>
      <c r="G67" s="6" t="s">
        <v>3</v>
      </c>
    </row>
    <row r="68" spans="1:7" x14ac:dyDescent="0.2">
      <c r="A68" s="3" t="s">
        <v>39</v>
      </c>
      <c r="B68" s="3" t="s">
        <v>139</v>
      </c>
      <c r="C68" s="3" t="s">
        <v>42</v>
      </c>
      <c r="D68" s="3" t="s">
        <v>83</v>
      </c>
      <c r="E68" s="4">
        <f t="shared" si="2"/>
        <v>-3.1611509092627448</v>
      </c>
      <c r="F68" s="6">
        <f>0.069/10^2</f>
        <v>6.9000000000000008E-4</v>
      </c>
      <c r="G68" s="6" t="s">
        <v>3</v>
      </c>
    </row>
    <row r="69" spans="1:7" x14ac:dyDescent="0.2">
      <c r="A69" s="3" t="s">
        <v>39</v>
      </c>
      <c r="B69" s="3" t="s">
        <v>139</v>
      </c>
      <c r="C69" s="3" t="s">
        <v>50</v>
      </c>
      <c r="D69" s="3" t="s">
        <v>91</v>
      </c>
      <c r="E69" s="4">
        <f t="shared" si="2"/>
        <v>-0.58502665202918203</v>
      </c>
      <c r="F69" s="6">
        <v>0.26</v>
      </c>
      <c r="G69" s="6" t="s">
        <v>108</v>
      </c>
    </row>
    <row r="70" spans="1:7" x14ac:dyDescent="0.2">
      <c r="A70" s="3" t="s">
        <v>39</v>
      </c>
      <c r="B70" s="3" t="s">
        <v>139</v>
      </c>
      <c r="C70" s="3" t="s">
        <v>42</v>
      </c>
      <c r="D70" s="3" t="s">
        <v>83</v>
      </c>
      <c r="E70" s="4">
        <f t="shared" si="2"/>
        <v>-2.1870866433571443</v>
      </c>
      <c r="F70" s="5">
        <v>6.4999999999999997E-3</v>
      </c>
      <c r="G70" s="6" t="s">
        <v>108</v>
      </c>
    </row>
    <row r="71" spans="1:7" x14ac:dyDescent="0.2">
      <c r="A71" s="3" t="s">
        <v>22</v>
      </c>
      <c r="B71" s="3" t="s">
        <v>22</v>
      </c>
      <c r="C71" s="3" t="s">
        <v>42</v>
      </c>
      <c r="D71" s="3" t="s">
        <v>83</v>
      </c>
      <c r="E71" s="4">
        <f t="shared" si="2"/>
        <v>-6.4089353929735005</v>
      </c>
      <c r="F71" s="5">
        <f>(0.0039/10^4)</f>
        <v>3.8999999999999997E-7</v>
      </c>
      <c r="G71" s="5" t="s">
        <v>20</v>
      </c>
    </row>
    <row r="72" spans="1:7" x14ac:dyDescent="0.2">
      <c r="A72" s="3" t="s">
        <v>22</v>
      </c>
      <c r="B72" s="3" t="s">
        <v>22</v>
      </c>
      <c r="C72" s="3" t="s">
        <v>63</v>
      </c>
      <c r="D72" s="3" t="s">
        <v>156</v>
      </c>
      <c r="E72" s="4">
        <f t="shared" ref="E72:E86" si="3">LOG10(F72)</f>
        <v>-5.5528419686577806</v>
      </c>
      <c r="F72" s="5">
        <f>0.028/(10^4)</f>
        <v>2.7999999999999999E-6</v>
      </c>
      <c r="G72" s="5" t="s">
        <v>20</v>
      </c>
    </row>
    <row r="73" spans="1:7" x14ac:dyDescent="0.2">
      <c r="A73" s="3" t="s">
        <v>22</v>
      </c>
      <c r="B73" s="3" t="s">
        <v>22</v>
      </c>
      <c r="C73" s="3" t="s">
        <v>64</v>
      </c>
      <c r="D73" s="3" t="s">
        <v>152</v>
      </c>
      <c r="E73" s="4">
        <f t="shared" si="3"/>
        <v>-4.8860566476931631</v>
      </c>
      <c r="F73" s="5">
        <f>0.13/(10^4)</f>
        <v>1.3000000000000001E-5</v>
      </c>
      <c r="G73" s="5" t="s">
        <v>20</v>
      </c>
    </row>
    <row r="74" spans="1:7" x14ac:dyDescent="0.2">
      <c r="A74" s="3" t="s">
        <v>22</v>
      </c>
      <c r="B74" s="3" t="s">
        <v>22</v>
      </c>
      <c r="C74" s="3" t="s">
        <v>49</v>
      </c>
      <c r="D74" s="3" t="s">
        <v>169</v>
      </c>
      <c r="E74" s="4">
        <f t="shared" si="3"/>
        <v>-4.2218487496163561</v>
      </c>
      <c r="F74" s="5">
        <f>0.6/(10^4)</f>
        <v>5.9999999999999995E-5</v>
      </c>
      <c r="G74" s="5" t="s">
        <v>20</v>
      </c>
    </row>
    <row r="75" spans="1:7" x14ac:dyDescent="0.2">
      <c r="A75" s="3" t="s">
        <v>22</v>
      </c>
      <c r="B75" s="3" t="s">
        <v>22</v>
      </c>
      <c r="C75" s="3" t="s">
        <v>65</v>
      </c>
      <c r="D75" s="3" t="s">
        <v>154</v>
      </c>
      <c r="E75" s="4">
        <f t="shared" si="3"/>
        <v>-3.6382721639824074</v>
      </c>
      <c r="F75" s="5">
        <f>2.3/(10^4)</f>
        <v>2.2999999999999998E-4</v>
      </c>
      <c r="G75" s="5" t="s">
        <v>20</v>
      </c>
    </row>
    <row r="76" spans="1:7" x14ac:dyDescent="0.2">
      <c r="A76" s="3" t="s">
        <v>22</v>
      </c>
      <c r="B76" s="3" t="s">
        <v>22</v>
      </c>
      <c r="C76" s="3" t="s">
        <v>52</v>
      </c>
      <c r="D76" s="3" t="s">
        <v>159</v>
      </c>
      <c r="E76" s="4">
        <f t="shared" si="3"/>
        <v>-4.6989700043360187</v>
      </c>
      <c r="F76" s="5">
        <f>0.2/(10^4)</f>
        <v>2.0000000000000002E-5</v>
      </c>
      <c r="G76" s="5" t="s">
        <v>20</v>
      </c>
    </row>
    <row r="77" spans="1:7" x14ac:dyDescent="0.2">
      <c r="A77" s="3" t="s">
        <v>22</v>
      </c>
      <c r="B77" s="3" t="s">
        <v>22</v>
      </c>
      <c r="C77" s="3" t="s">
        <v>50</v>
      </c>
      <c r="D77" s="3" t="s">
        <v>91</v>
      </c>
      <c r="E77" s="4">
        <f t="shared" si="3"/>
        <v>-3.4948500216800942</v>
      </c>
      <c r="F77" s="5">
        <f>3.2/(10^4)</f>
        <v>3.2000000000000003E-4</v>
      </c>
      <c r="G77" s="5" t="s">
        <v>20</v>
      </c>
    </row>
    <row r="78" spans="1:7" x14ac:dyDescent="0.2">
      <c r="A78" s="3" t="s">
        <v>22</v>
      </c>
      <c r="B78" s="3" t="s">
        <v>22</v>
      </c>
      <c r="C78" s="3" t="s">
        <v>44</v>
      </c>
      <c r="D78" s="3" t="s">
        <v>95</v>
      </c>
      <c r="E78" s="4">
        <f t="shared" si="3"/>
        <v>-3.4559319556497243</v>
      </c>
      <c r="F78" s="5">
        <f>3.5/(10^4)</f>
        <v>3.5E-4</v>
      </c>
      <c r="G78" s="5" t="s">
        <v>20</v>
      </c>
    </row>
    <row r="79" spans="1:7" x14ac:dyDescent="0.2">
      <c r="A79" s="3" t="s">
        <v>22</v>
      </c>
      <c r="B79" s="3" t="s">
        <v>22</v>
      </c>
      <c r="C79" s="3" t="s">
        <v>45</v>
      </c>
      <c r="D79" s="3" t="s">
        <v>93</v>
      </c>
      <c r="E79" s="4">
        <f t="shared" si="3"/>
        <v>-3.3187587626244128</v>
      </c>
      <c r="F79" s="5">
        <f>4.8/(10^4)</f>
        <v>4.7999999999999996E-4</v>
      </c>
      <c r="G79" s="5" t="s">
        <v>20</v>
      </c>
    </row>
    <row r="80" spans="1:7" x14ac:dyDescent="0.2">
      <c r="A80" s="3" t="s">
        <v>22</v>
      </c>
      <c r="B80" s="3" t="s">
        <v>22</v>
      </c>
      <c r="C80" s="3" t="s">
        <v>66</v>
      </c>
      <c r="D80" s="3" t="s">
        <v>85</v>
      </c>
      <c r="E80" s="4">
        <f t="shared" si="3"/>
        <v>-3.6777807052660809</v>
      </c>
      <c r="F80" s="5">
        <f>2.1/(10^4)</f>
        <v>2.1000000000000001E-4</v>
      </c>
      <c r="G80" s="5" t="s">
        <v>20</v>
      </c>
    </row>
    <row r="81" spans="1:7" x14ac:dyDescent="0.2">
      <c r="A81" s="3" t="s">
        <v>22</v>
      </c>
      <c r="B81" s="3" t="s">
        <v>22</v>
      </c>
      <c r="C81" s="3" t="s">
        <v>179</v>
      </c>
      <c r="D81" s="3" t="s">
        <v>94</v>
      </c>
      <c r="E81" s="4">
        <f t="shared" si="3"/>
        <v>-3.6020599913279625</v>
      </c>
      <c r="F81" s="5">
        <f>2.5/(10^4)</f>
        <v>2.5000000000000001E-4</v>
      </c>
      <c r="G81" s="5" t="s">
        <v>20</v>
      </c>
    </row>
    <row r="82" spans="1:7" x14ac:dyDescent="0.2">
      <c r="A82" s="3" t="s">
        <v>22</v>
      </c>
      <c r="B82" s="3" t="s">
        <v>22</v>
      </c>
      <c r="C82" s="3" t="s">
        <v>67</v>
      </c>
      <c r="D82" s="3" t="s">
        <v>86</v>
      </c>
      <c r="E82" s="4">
        <f t="shared" si="3"/>
        <v>-3.0604807473813813</v>
      </c>
      <c r="F82" s="5">
        <f>8.7/(10^4)</f>
        <v>8.699999999999999E-4</v>
      </c>
      <c r="G82" s="5" t="s">
        <v>20</v>
      </c>
    </row>
    <row r="83" spans="1:7" x14ac:dyDescent="0.2">
      <c r="A83" s="3" t="s">
        <v>22</v>
      </c>
      <c r="B83" s="3" t="s">
        <v>22</v>
      </c>
      <c r="C83" s="3" t="s">
        <v>58</v>
      </c>
      <c r="D83" s="3" t="s">
        <v>153</v>
      </c>
      <c r="E83" s="4">
        <f t="shared" si="3"/>
        <v>-2.6777807052660809</v>
      </c>
      <c r="F83" s="5">
        <f>21/(10^4)</f>
        <v>2.0999999999999999E-3</v>
      </c>
      <c r="G83" s="5" t="s">
        <v>20</v>
      </c>
    </row>
    <row r="84" spans="1:7" x14ac:dyDescent="0.2">
      <c r="A84" s="3" t="s">
        <v>22</v>
      </c>
      <c r="B84" s="3" t="s">
        <v>22</v>
      </c>
      <c r="C84" s="3" t="s">
        <v>68</v>
      </c>
      <c r="D84" s="3" t="s">
        <v>155</v>
      </c>
      <c r="E84" s="4">
        <f t="shared" si="3"/>
        <v>-3.9208187539523753</v>
      </c>
      <c r="F84" s="5">
        <f>1.2/(10^4)</f>
        <v>1.1999999999999999E-4</v>
      </c>
      <c r="G84" s="5" t="s">
        <v>20</v>
      </c>
    </row>
    <row r="85" spans="1:7" x14ac:dyDescent="0.2">
      <c r="A85" s="3" t="s">
        <v>22</v>
      </c>
      <c r="B85" s="3" t="s">
        <v>22</v>
      </c>
      <c r="C85" s="3" t="s">
        <v>69</v>
      </c>
      <c r="D85" s="3" t="s">
        <v>89</v>
      </c>
      <c r="E85" s="4">
        <f t="shared" si="3"/>
        <v>-2.4814860601221125</v>
      </c>
      <c r="F85" s="5">
        <f>33/(10^4)</f>
        <v>3.3E-3</v>
      </c>
      <c r="G85" s="5" t="s">
        <v>20</v>
      </c>
    </row>
    <row r="86" spans="1:7" ht="17" thickBot="1" x14ac:dyDescent="0.25">
      <c r="A86" s="3" t="s">
        <v>22</v>
      </c>
      <c r="B86" s="3" t="s">
        <v>22</v>
      </c>
      <c r="C86" s="3" t="s">
        <v>59</v>
      </c>
      <c r="D86" s="3" t="s">
        <v>90</v>
      </c>
      <c r="E86" s="4">
        <f t="shared" si="3"/>
        <v>-2.795880017344075</v>
      </c>
      <c r="F86" s="5">
        <f>16/(10^4)</f>
        <v>1.6000000000000001E-3</v>
      </c>
      <c r="G86" s="5" t="s">
        <v>20</v>
      </c>
    </row>
    <row r="87" spans="1:7" x14ac:dyDescent="0.2">
      <c r="A87" s="3" t="s">
        <v>21</v>
      </c>
      <c r="B87" s="3" t="s">
        <v>21</v>
      </c>
      <c r="C87" s="3" t="s">
        <v>43</v>
      </c>
      <c r="D87" s="7" t="s">
        <v>96</v>
      </c>
      <c r="E87" s="4">
        <f t="shared" ref="E87:E120" si="4">LOG10(F87)</f>
        <v>-3.7144426909922261</v>
      </c>
      <c r="F87" s="8">
        <v>1.93E-4</v>
      </c>
      <c r="G87" s="6" t="s">
        <v>3</v>
      </c>
    </row>
    <row r="88" spans="1:7" x14ac:dyDescent="0.2">
      <c r="A88" s="3" t="s">
        <v>21</v>
      </c>
      <c r="B88" s="3" t="s">
        <v>21</v>
      </c>
      <c r="C88" s="3" t="s">
        <v>49</v>
      </c>
      <c r="D88" s="9" t="s">
        <v>169</v>
      </c>
      <c r="E88" s="4">
        <f t="shared" si="4"/>
        <v>-3.3279021420642825</v>
      </c>
      <c r="F88" s="8">
        <v>4.7000000000000004E-4</v>
      </c>
      <c r="G88" s="6" t="s">
        <v>3</v>
      </c>
    </row>
    <row r="89" spans="1:7" x14ac:dyDescent="0.2">
      <c r="A89" s="3" t="s">
        <v>21</v>
      </c>
      <c r="B89" s="3" t="s">
        <v>21</v>
      </c>
      <c r="C89" s="3" t="s">
        <v>101</v>
      </c>
      <c r="D89" s="9" t="s">
        <v>170</v>
      </c>
      <c r="E89" s="4">
        <f t="shared" si="4"/>
        <v>-3.2365720064370627</v>
      </c>
      <c r="F89" s="8">
        <v>5.8E-4</v>
      </c>
      <c r="G89" s="6" t="s">
        <v>3</v>
      </c>
    </row>
    <row r="90" spans="1:7" x14ac:dyDescent="0.2">
      <c r="A90" s="3" t="s">
        <v>21</v>
      </c>
      <c r="B90" s="3" t="s">
        <v>21</v>
      </c>
      <c r="C90" s="3" t="s">
        <v>102</v>
      </c>
      <c r="D90" s="9" t="s">
        <v>171</v>
      </c>
      <c r="E90" s="4">
        <f t="shared" si="4"/>
        <v>-3.0457574905606752</v>
      </c>
      <c r="F90" s="8">
        <v>8.9999999999999998E-4</v>
      </c>
      <c r="G90" s="6" t="s">
        <v>3</v>
      </c>
    </row>
    <row r="91" spans="1:7" x14ac:dyDescent="0.2">
      <c r="A91" s="3" t="s">
        <v>21</v>
      </c>
      <c r="B91" s="3" t="s">
        <v>21</v>
      </c>
      <c r="C91" s="3" t="s">
        <v>103</v>
      </c>
      <c r="D91" s="9" t="s">
        <v>172</v>
      </c>
      <c r="E91" s="4">
        <f t="shared" si="4"/>
        <v>-2.9871627752948275</v>
      </c>
      <c r="F91" s="8">
        <v>1.0300000000000001E-3</v>
      </c>
      <c r="G91" s="6" t="s">
        <v>3</v>
      </c>
    </row>
    <row r="92" spans="1:7" x14ac:dyDescent="0.2">
      <c r="A92" s="3" t="s">
        <v>21</v>
      </c>
      <c r="B92" s="3" t="s">
        <v>21</v>
      </c>
      <c r="C92" s="3" t="s">
        <v>61</v>
      </c>
      <c r="D92" s="9" t="s">
        <v>104</v>
      </c>
      <c r="E92" s="4">
        <f t="shared" si="4"/>
        <v>-2.8356471442155629</v>
      </c>
      <c r="F92" s="8">
        <v>1.4599999999999999E-3</v>
      </c>
      <c r="G92" s="6" t="s">
        <v>3</v>
      </c>
    </row>
    <row r="93" spans="1:7" x14ac:dyDescent="0.2">
      <c r="A93" s="3" t="s">
        <v>21</v>
      </c>
      <c r="B93" s="3" t="s">
        <v>21</v>
      </c>
      <c r="C93" s="3" t="s">
        <v>50</v>
      </c>
      <c r="D93" s="9" t="s">
        <v>91</v>
      </c>
      <c r="E93" s="4">
        <f t="shared" si="4"/>
        <v>-2.7351821769904636</v>
      </c>
      <c r="F93" s="8">
        <v>1.8399999999999998E-3</v>
      </c>
      <c r="G93" s="6" t="s">
        <v>3</v>
      </c>
    </row>
    <row r="94" spans="1:7" x14ac:dyDescent="0.2">
      <c r="A94" s="3" t="s">
        <v>21</v>
      </c>
      <c r="B94" s="3" t="s">
        <v>21</v>
      </c>
      <c r="C94" s="3" t="s">
        <v>44</v>
      </c>
      <c r="D94" s="9" t="s">
        <v>95</v>
      </c>
      <c r="E94" s="4">
        <f t="shared" si="4"/>
        <v>-2.5228787452803374</v>
      </c>
      <c r="F94" s="8">
        <v>3.0000000000000001E-3</v>
      </c>
      <c r="G94" s="6" t="s">
        <v>3</v>
      </c>
    </row>
    <row r="95" spans="1:7" x14ac:dyDescent="0.2">
      <c r="A95" s="3" t="s">
        <v>21</v>
      </c>
      <c r="B95" s="3" t="s">
        <v>21</v>
      </c>
      <c r="C95" s="3" t="s">
        <v>45</v>
      </c>
      <c r="D95" s="9" t="s">
        <v>93</v>
      </c>
      <c r="E95" s="4">
        <f t="shared" si="4"/>
        <v>-2.4436974992327127</v>
      </c>
      <c r="F95" s="8">
        <v>3.5999999999999999E-3</v>
      </c>
      <c r="G95" s="6" t="s">
        <v>3</v>
      </c>
    </row>
    <row r="96" spans="1:7" x14ac:dyDescent="0.2">
      <c r="A96" s="3" t="s">
        <v>21</v>
      </c>
      <c r="B96" s="3" t="s">
        <v>21</v>
      </c>
      <c r="C96" s="3" t="s">
        <v>41</v>
      </c>
      <c r="D96" s="9" t="s">
        <v>92</v>
      </c>
      <c r="E96" s="4">
        <f t="shared" si="4"/>
        <v>-2.3467874862246565</v>
      </c>
      <c r="F96" s="8">
        <v>4.4999999999999997E-3</v>
      </c>
      <c r="G96" s="6" t="s">
        <v>3</v>
      </c>
    </row>
    <row r="97" spans="1:7" x14ac:dyDescent="0.2">
      <c r="A97" s="3" t="s">
        <v>21</v>
      </c>
      <c r="B97" s="3" t="s">
        <v>21</v>
      </c>
      <c r="C97" s="3" t="s">
        <v>47</v>
      </c>
      <c r="D97" s="9" t="s">
        <v>173</v>
      </c>
      <c r="E97" s="4">
        <f t="shared" si="4"/>
        <v>-1.9507819773298183</v>
      </c>
      <c r="F97" s="8">
        <v>1.12E-2</v>
      </c>
      <c r="G97" s="6" t="s">
        <v>3</v>
      </c>
    </row>
    <row r="98" spans="1:7" x14ac:dyDescent="0.2">
      <c r="A98" s="3" t="s">
        <v>21</v>
      </c>
      <c r="B98" s="3" t="s">
        <v>21</v>
      </c>
      <c r="C98" s="3" t="s">
        <v>51</v>
      </c>
      <c r="D98" s="9" t="s">
        <v>160</v>
      </c>
      <c r="E98" s="4">
        <f t="shared" si="4"/>
        <v>-4.2839966563652006</v>
      </c>
      <c r="F98" s="8">
        <v>5.2000000000000004E-5</v>
      </c>
      <c r="G98" s="6" t="s">
        <v>3</v>
      </c>
    </row>
    <row r="99" spans="1:7" x14ac:dyDescent="0.2">
      <c r="A99" s="3" t="s">
        <v>21</v>
      </c>
      <c r="B99" s="3" t="s">
        <v>21</v>
      </c>
      <c r="C99" s="3" t="s">
        <v>52</v>
      </c>
      <c r="D99" s="9" t="s">
        <v>159</v>
      </c>
      <c r="E99" s="4">
        <f t="shared" si="4"/>
        <v>-3.8761483590329142</v>
      </c>
      <c r="F99" s="8">
        <v>1.3300000000000001E-4</v>
      </c>
      <c r="G99" s="6" t="s">
        <v>3</v>
      </c>
    </row>
    <row r="100" spans="1:7" x14ac:dyDescent="0.2">
      <c r="A100" s="3" t="s">
        <v>21</v>
      </c>
      <c r="B100" s="3" t="s">
        <v>21</v>
      </c>
      <c r="C100" s="3" t="s">
        <v>53</v>
      </c>
      <c r="D100" s="9" t="s">
        <v>99</v>
      </c>
      <c r="E100" s="4">
        <f t="shared" si="4"/>
        <v>-3.9172146296835497</v>
      </c>
      <c r="F100" s="8">
        <v>1.21E-4</v>
      </c>
      <c r="G100" s="6" t="s">
        <v>3</v>
      </c>
    </row>
    <row r="101" spans="1:7" x14ac:dyDescent="0.2">
      <c r="A101" s="3" t="s">
        <v>21</v>
      </c>
      <c r="B101" s="3" t="s">
        <v>21</v>
      </c>
      <c r="C101" s="3" t="s">
        <v>54</v>
      </c>
      <c r="D101" s="9" t="s">
        <v>163</v>
      </c>
      <c r="E101" s="4">
        <f t="shared" si="4"/>
        <v>-2.7328282715969863</v>
      </c>
      <c r="F101" s="8">
        <v>1.8500000000000001E-3</v>
      </c>
      <c r="G101" s="6" t="s">
        <v>3</v>
      </c>
    </row>
    <row r="102" spans="1:7" x14ac:dyDescent="0.2">
      <c r="A102" s="3" t="s">
        <v>21</v>
      </c>
      <c r="B102" s="3" t="s">
        <v>21</v>
      </c>
      <c r="C102" s="3" t="s">
        <v>55</v>
      </c>
      <c r="D102" s="9" t="s">
        <v>176</v>
      </c>
      <c r="E102" s="4">
        <f t="shared" si="4"/>
        <v>-2.9665762445130501</v>
      </c>
      <c r="F102" s="8">
        <v>1.08E-3</v>
      </c>
      <c r="G102" s="6" t="s">
        <v>3</v>
      </c>
    </row>
    <row r="103" spans="1:7" x14ac:dyDescent="0.2">
      <c r="A103" s="3" t="s">
        <v>21</v>
      </c>
      <c r="B103" s="3" t="s">
        <v>21</v>
      </c>
      <c r="C103" s="3" t="s">
        <v>56</v>
      </c>
      <c r="D103" s="9" t="s">
        <v>174</v>
      </c>
      <c r="E103" s="4">
        <f t="shared" si="4"/>
        <v>-2.5376020021010439</v>
      </c>
      <c r="F103" s="8">
        <v>2.8999999999999998E-3</v>
      </c>
      <c r="G103" s="6" t="s">
        <v>3</v>
      </c>
    </row>
    <row r="104" spans="1:7" x14ac:dyDescent="0.2">
      <c r="A104" s="3" t="s">
        <v>21</v>
      </c>
      <c r="B104" s="3" t="s">
        <v>21</v>
      </c>
      <c r="C104" s="3" t="s">
        <v>57</v>
      </c>
      <c r="D104" s="9" t="s">
        <v>177</v>
      </c>
      <c r="E104" s="4">
        <f t="shared" si="4"/>
        <v>-2.3767507096020997</v>
      </c>
      <c r="F104" s="8">
        <v>4.1999999999999997E-3</v>
      </c>
      <c r="G104" s="6" t="s">
        <v>3</v>
      </c>
    </row>
    <row r="105" spans="1:7" x14ac:dyDescent="0.2">
      <c r="A105" s="3" t="s">
        <v>21</v>
      </c>
      <c r="B105" s="3" t="s">
        <v>21</v>
      </c>
      <c r="C105" s="3" t="s">
        <v>58</v>
      </c>
      <c r="D105" s="9" t="s">
        <v>153</v>
      </c>
      <c r="E105" s="4">
        <f t="shared" si="4"/>
        <v>-2.2218487496163561</v>
      </c>
      <c r="F105" s="8">
        <v>6.0000000000000001E-3</v>
      </c>
      <c r="G105" s="6" t="s">
        <v>3</v>
      </c>
    </row>
    <row r="106" spans="1:7" x14ac:dyDescent="0.2">
      <c r="A106" s="3" t="s">
        <v>21</v>
      </c>
      <c r="B106" s="3" t="s">
        <v>21</v>
      </c>
      <c r="C106" s="3" t="s">
        <v>59</v>
      </c>
      <c r="D106" s="9" t="s">
        <v>90</v>
      </c>
      <c r="E106" s="4">
        <f t="shared" si="4"/>
        <v>-2.2006594505464183</v>
      </c>
      <c r="F106" s="8">
        <v>6.3E-3</v>
      </c>
      <c r="G106" s="6" t="s">
        <v>3</v>
      </c>
    </row>
    <row r="107" spans="1:7" x14ac:dyDescent="0.2">
      <c r="A107" s="3" t="s">
        <v>21</v>
      </c>
      <c r="B107" s="3" t="s">
        <v>21</v>
      </c>
      <c r="C107" s="3" t="s">
        <v>60</v>
      </c>
      <c r="D107" s="9" t="s">
        <v>175</v>
      </c>
      <c r="E107" s="4">
        <f t="shared" si="4"/>
        <v>-2.2291479883578558</v>
      </c>
      <c r="F107" s="8">
        <v>5.8999999999999999E-3</v>
      </c>
      <c r="G107" s="6" t="s">
        <v>3</v>
      </c>
    </row>
    <row r="108" spans="1:7" x14ac:dyDescent="0.2">
      <c r="A108" s="3" t="s">
        <v>21</v>
      </c>
      <c r="B108" s="3" t="s">
        <v>21</v>
      </c>
      <c r="C108" s="3" t="s">
        <v>62</v>
      </c>
      <c r="D108" s="9" t="s">
        <v>100</v>
      </c>
      <c r="E108" s="4">
        <f t="shared" si="4"/>
        <v>-1.8601209135987635</v>
      </c>
      <c r="F108" s="8">
        <v>1.38E-2</v>
      </c>
      <c r="G108" s="6" t="s">
        <v>3</v>
      </c>
    </row>
    <row r="109" spans="1:7" x14ac:dyDescent="0.2">
      <c r="A109" s="3" t="s">
        <v>21</v>
      </c>
      <c r="B109" s="3" t="s">
        <v>21</v>
      </c>
      <c r="C109" s="3" t="s">
        <v>9</v>
      </c>
      <c r="D109" s="3" t="s">
        <v>148</v>
      </c>
      <c r="E109" s="4">
        <f t="shared" si="4"/>
        <v>-2.2291479883578558</v>
      </c>
      <c r="F109" s="5">
        <f>5900/10^6</f>
        <v>5.8999999999999999E-3</v>
      </c>
      <c r="G109" s="6" t="s">
        <v>7</v>
      </c>
    </row>
    <row r="110" spans="1:7" x14ac:dyDescent="0.2">
      <c r="A110" s="3" t="s">
        <v>21</v>
      </c>
      <c r="B110" s="3" t="s">
        <v>21</v>
      </c>
      <c r="C110" s="3" t="s">
        <v>118</v>
      </c>
      <c r="D110" s="3" t="s">
        <v>149</v>
      </c>
      <c r="E110" s="4">
        <f t="shared" si="4"/>
        <v>-4.9586073148417746</v>
      </c>
      <c r="F110" s="5">
        <f>11/10^6</f>
        <v>1.1E-5</v>
      </c>
      <c r="G110" s="6" t="s">
        <v>7</v>
      </c>
    </row>
    <row r="111" spans="1:7" x14ac:dyDescent="0.2">
      <c r="A111" s="3" t="s">
        <v>21</v>
      </c>
      <c r="B111" s="3" t="s">
        <v>21</v>
      </c>
      <c r="C111" s="3" t="s">
        <v>10</v>
      </c>
      <c r="D111" s="3" t="s">
        <v>150</v>
      </c>
      <c r="E111" s="4">
        <f t="shared" si="4"/>
        <v>-5.1549019599857431</v>
      </c>
      <c r="F111" s="5">
        <f>7/10^6</f>
        <v>6.9999999999999999E-6</v>
      </c>
      <c r="G111" s="6" t="s">
        <v>7</v>
      </c>
    </row>
    <row r="112" spans="1:7" x14ac:dyDescent="0.2">
      <c r="A112" s="3" t="s">
        <v>21</v>
      </c>
      <c r="B112" s="3" t="s">
        <v>21</v>
      </c>
      <c r="C112" s="3" t="s">
        <v>11</v>
      </c>
      <c r="D112" s="3" t="s">
        <v>151</v>
      </c>
      <c r="E112" s="4">
        <f t="shared" si="4"/>
        <v>-6.1487416512809245</v>
      </c>
      <c r="F112" s="5">
        <f>0.71/10^6</f>
        <v>7.0999999999999998E-7</v>
      </c>
      <c r="G112" s="6" t="s">
        <v>6</v>
      </c>
    </row>
    <row r="113" spans="1:7" x14ac:dyDescent="0.2">
      <c r="A113" s="3" t="s">
        <v>21</v>
      </c>
      <c r="B113" s="3" t="s">
        <v>21</v>
      </c>
      <c r="C113" s="6" t="s">
        <v>42</v>
      </c>
      <c r="D113" s="6" t="s">
        <v>83</v>
      </c>
      <c r="E113" s="4">
        <f t="shared" si="4"/>
        <v>-5.5228787452803374</v>
      </c>
      <c r="F113" s="5">
        <v>3.0000000000000001E-6</v>
      </c>
      <c r="G113" s="5" t="s">
        <v>81</v>
      </c>
    </row>
    <row r="114" spans="1:7" x14ac:dyDescent="0.2">
      <c r="A114" s="6" t="s">
        <v>21</v>
      </c>
      <c r="B114" s="6" t="s">
        <v>21</v>
      </c>
      <c r="C114" s="6" t="s">
        <v>42</v>
      </c>
      <c r="D114" s="6" t="s">
        <v>83</v>
      </c>
      <c r="E114" s="4">
        <f t="shared" si="4"/>
        <v>-5.4685210829577446</v>
      </c>
      <c r="F114" s="5">
        <f>(0.0034/10^3)</f>
        <v>3.3999999999999996E-6</v>
      </c>
      <c r="G114" s="5" t="s">
        <v>20</v>
      </c>
    </row>
    <row r="115" spans="1:7" x14ac:dyDescent="0.2">
      <c r="A115" s="6" t="s">
        <v>21</v>
      </c>
      <c r="B115" s="6" t="s">
        <v>21</v>
      </c>
      <c r="C115" s="6" t="s">
        <v>64</v>
      </c>
      <c r="D115" s="6" t="s">
        <v>152</v>
      </c>
      <c r="E115" s="4">
        <f t="shared" si="4"/>
        <v>-4.1549019599857431</v>
      </c>
      <c r="F115" s="5">
        <v>6.9999999999999994E-5</v>
      </c>
      <c r="G115" s="5" t="s">
        <v>20</v>
      </c>
    </row>
    <row r="116" spans="1:7" x14ac:dyDescent="0.2">
      <c r="A116" s="6" t="s">
        <v>21</v>
      </c>
      <c r="B116" s="6" t="s">
        <v>21</v>
      </c>
      <c r="C116" s="6" t="s">
        <v>50</v>
      </c>
      <c r="D116" s="6" t="s">
        <v>91</v>
      </c>
      <c r="E116" s="4">
        <f t="shared" si="4"/>
        <v>-2.6989700043360187</v>
      </c>
      <c r="F116" s="5">
        <v>2E-3</v>
      </c>
      <c r="G116" s="5" t="s">
        <v>20</v>
      </c>
    </row>
    <row r="117" spans="1:7" x14ac:dyDescent="0.2">
      <c r="A117" s="6" t="s">
        <v>21</v>
      </c>
      <c r="B117" s="6" t="s">
        <v>21</v>
      </c>
      <c r="C117" s="6" t="s">
        <v>67</v>
      </c>
      <c r="D117" s="6" t="s">
        <v>86</v>
      </c>
      <c r="E117" s="4">
        <f t="shared" si="4"/>
        <v>-2.3767507096020997</v>
      </c>
      <c r="F117" s="5">
        <v>4.1999999999999997E-3</v>
      </c>
      <c r="G117" s="5" t="s">
        <v>20</v>
      </c>
    </row>
    <row r="118" spans="1:7" x14ac:dyDescent="0.2">
      <c r="A118" s="6" t="s">
        <v>21</v>
      </c>
      <c r="B118" s="6" t="s">
        <v>21</v>
      </c>
      <c r="C118" s="6" t="s">
        <v>58</v>
      </c>
      <c r="D118" s="6" t="s">
        <v>153</v>
      </c>
      <c r="E118" s="4">
        <f t="shared" si="4"/>
        <v>-1.9208187539523751</v>
      </c>
      <c r="F118" s="5">
        <v>1.2E-2</v>
      </c>
      <c r="G118" s="5" t="s">
        <v>20</v>
      </c>
    </row>
    <row r="119" spans="1:7" x14ac:dyDescent="0.2">
      <c r="A119" s="6" t="s">
        <v>21</v>
      </c>
      <c r="B119" s="6" t="s">
        <v>21</v>
      </c>
      <c r="C119" s="6" t="s">
        <v>68</v>
      </c>
      <c r="D119" s="6" t="s">
        <v>155</v>
      </c>
      <c r="E119" s="4">
        <f t="shared" si="4"/>
        <v>-3.1938200260161129</v>
      </c>
      <c r="F119" s="5">
        <v>6.4000000000000005E-4</v>
      </c>
      <c r="G119" s="5" t="s">
        <v>20</v>
      </c>
    </row>
    <row r="120" spans="1:7" x14ac:dyDescent="0.2">
      <c r="A120" s="6" t="s">
        <v>21</v>
      </c>
      <c r="B120" s="6" t="s">
        <v>21</v>
      </c>
      <c r="C120" s="6" t="s">
        <v>69</v>
      </c>
      <c r="D120" s="6" t="s">
        <v>89</v>
      </c>
      <c r="E120" s="4">
        <f t="shared" si="4"/>
        <v>-1.9208187539523751</v>
      </c>
      <c r="F120" s="5">
        <v>1.2E-2</v>
      </c>
      <c r="G120" s="5" t="s">
        <v>20</v>
      </c>
    </row>
    <row r="121" spans="1:7" x14ac:dyDescent="0.2">
      <c r="A121" s="6" t="s">
        <v>105</v>
      </c>
      <c r="B121" s="6" t="s">
        <v>140</v>
      </c>
      <c r="C121" s="6" t="s">
        <v>50</v>
      </c>
      <c r="D121" s="6" t="s">
        <v>91</v>
      </c>
      <c r="E121" s="4">
        <f t="shared" ref="E121:E149" si="5">LOG10(F121)</f>
        <v>-9.1514981121350217E-2</v>
      </c>
      <c r="F121" s="5">
        <v>0.81</v>
      </c>
      <c r="G121" s="5" t="s">
        <v>108</v>
      </c>
    </row>
    <row r="122" spans="1:7" x14ac:dyDescent="0.2">
      <c r="A122" s="6" t="s">
        <v>105</v>
      </c>
      <c r="B122" s="6" t="s">
        <v>140</v>
      </c>
      <c r="C122" s="3" t="s">
        <v>42</v>
      </c>
      <c r="D122" s="3" t="s">
        <v>83</v>
      </c>
      <c r="E122" s="4">
        <f t="shared" si="5"/>
        <v>-2.2924298239020637</v>
      </c>
      <c r="F122" s="5">
        <v>5.1000000000000004E-3</v>
      </c>
      <c r="G122" s="5" t="s">
        <v>108</v>
      </c>
    </row>
    <row r="123" spans="1:7" x14ac:dyDescent="0.2">
      <c r="A123" s="3" t="s">
        <v>106</v>
      </c>
      <c r="B123" s="3" t="s">
        <v>141</v>
      </c>
      <c r="C123" s="6" t="s">
        <v>50</v>
      </c>
      <c r="D123" s="6" t="s">
        <v>91</v>
      </c>
      <c r="E123" s="4">
        <f t="shared" si="5"/>
        <v>-0.46852108295774486</v>
      </c>
      <c r="F123" s="5">
        <v>0.34</v>
      </c>
      <c r="G123" s="5" t="s">
        <v>108</v>
      </c>
    </row>
    <row r="124" spans="1:7" x14ac:dyDescent="0.2">
      <c r="A124" s="3" t="s">
        <v>106</v>
      </c>
      <c r="B124" s="3" t="s">
        <v>141</v>
      </c>
      <c r="C124" s="3" t="s">
        <v>42</v>
      </c>
      <c r="D124" s="3" t="s">
        <v>83</v>
      </c>
      <c r="E124" s="4">
        <f t="shared" si="5"/>
        <v>-2.7212463990471711</v>
      </c>
      <c r="F124" s="5">
        <v>1.9E-3</v>
      </c>
      <c r="G124" s="5" t="s">
        <v>108</v>
      </c>
    </row>
    <row r="125" spans="1:7" x14ac:dyDescent="0.2">
      <c r="A125" s="3" t="s">
        <v>107</v>
      </c>
      <c r="B125" s="3" t="s">
        <v>142</v>
      </c>
      <c r="C125" s="6" t="s">
        <v>50</v>
      </c>
      <c r="D125" s="6" t="s">
        <v>91</v>
      </c>
      <c r="E125" s="4">
        <f t="shared" si="5"/>
        <v>-0.10790539730951958</v>
      </c>
      <c r="F125" s="5">
        <v>0.78</v>
      </c>
      <c r="G125" s="5" t="s">
        <v>108</v>
      </c>
    </row>
    <row r="126" spans="1:7" x14ac:dyDescent="0.2">
      <c r="A126" s="3" t="s">
        <v>107</v>
      </c>
      <c r="B126" s="3" t="s">
        <v>142</v>
      </c>
      <c r="C126" s="3" t="s">
        <v>42</v>
      </c>
      <c r="D126" s="3" t="s">
        <v>83</v>
      </c>
      <c r="E126" s="4">
        <f t="shared" si="5"/>
        <v>-2.6777807052660809</v>
      </c>
      <c r="F126" s="5">
        <v>2.0999999999999999E-3</v>
      </c>
      <c r="G126" s="5" t="s">
        <v>108</v>
      </c>
    </row>
    <row r="127" spans="1:7" x14ac:dyDescent="0.2">
      <c r="A127" s="3" t="s">
        <v>109</v>
      </c>
      <c r="B127" s="3" t="s">
        <v>143</v>
      </c>
      <c r="C127" s="6" t="s">
        <v>50</v>
      </c>
      <c r="D127" s="6" t="s">
        <v>91</v>
      </c>
      <c r="E127" s="4">
        <f t="shared" si="5"/>
        <v>0.1553360374650618</v>
      </c>
      <c r="F127" s="5">
        <v>1.43</v>
      </c>
      <c r="G127" s="5" t="s">
        <v>108</v>
      </c>
    </row>
    <row r="128" spans="1:7" x14ac:dyDescent="0.2">
      <c r="A128" s="3" t="s">
        <v>109</v>
      </c>
      <c r="B128" s="3" t="s">
        <v>143</v>
      </c>
      <c r="C128" s="3" t="s">
        <v>42</v>
      </c>
      <c r="D128" s="3" t="s">
        <v>83</v>
      </c>
      <c r="E128" s="11">
        <f t="shared" si="5"/>
        <v>-2.1870866433571443</v>
      </c>
      <c r="F128" s="5">
        <v>6.4999999999999997E-3</v>
      </c>
      <c r="G128" s="5" t="s">
        <v>108</v>
      </c>
    </row>
    <row r="129" spans="1:7" x14ac:dyDescent="0.2">
      <c r="A129" s="3" t="s">
        <v>109</v>
      </c>
      <c r="B129" s="3" t="s">
        <v>143</v>
      </c>
      <c r="C129" s="6" t="s">
        <v>43</v>
      </c>
      <c r="D129" s="6" t="s">
        <v>96</v>
      </c>
      <c r="E129" s="11">
        <f t="shared" si="5"/>
        <v>-0.6777807052660807</v>
      </c>
      <c r="F129" s="5">
        <v>0.21</v>
      </c>
      <c r="G129" s="5" t="s">
        <v>108</v>
      </c>
    </row>
    <row r="130" spans="1:7" x14ac:dyDescent="0.2">
      <c r="A130" s="3" t="s">
        <v>109</v>
      </c>
      <c r="B130" s="3" t="s">
        <v>143</v>
      </c>
      <c r="C130" s="6" t="s">
        <v>49</v>
      </c>
      <c r="D130" s="6" t="s">
        <v>169</v>
      </c>
      <c r="E130" s="11">
        <f t="shared" si="5"/>
        <v>-0.52287874528033762</v>
      </c>
      <c r="F130" s="5">
        <v>0.3</v>
      </c>
      <c r="G130" s="5" t="s">
        <v>108</v>
      </c>
    </row>
    <row r="131" spans="1:7" x14ac:dyDescent="0.2">
      <c r="A131" s="3" t="s">
        <v>109</v>
      </c>
      <c r="B131" s="3" t="s">
        <v>143</v>
      </c>
      <c r="C131" s="6" t="s">
        <v>61</v>
      </c>
      <c r="D131" s="6" t="s">
        <v>104</v>
      </c>
      <c r="E131" s="11">
        <f t="shared" si="5"/>
        <v>-0.29242982390206362</v>
      </c>
      <c r="F131" s="5">
        <v>0.51</v>
      </c>
      <c r="G131" s="5" t="s">
        <v>108</v>
      </c>
    </row>
    <row r="132" spans="1:7" x14ac:dyDescent="0.2">
      <c r="A132" s="3" t="s">
        <v>109</v>
      </c>
      <c r="B132" s="3" t="s">
        <v>143</v>
      </c>
      <c r="C132" s="6" t="s">
        <v>50</v>
      </c>
      <c r="D132" s="6" t="s">
        <v>91</v>
      </c>
      <c r="E132" s="11">
        <f t="shared" si="5"/>
        <v>8.6001717619175692E-3</v>
      </c>
      <c r="F132" s="5">
        <v>1.02</v>
      </c>
      <c r="G132" s="5" t="s">
        <v>108</v>
      </c>
    </row>
    <row r="133" spans="1:7" x14ac:dyDescent="0.2">
      <c r="A133" s="3" t="s">
        <v>109</v>
      </c>
      <c r="B133" s="3" t="s">
        <v>143</v>
      </c>
      <c r="C133" s="6" t="s">
        <v>44</v>
      </c>
      <c r="D133" s="6" t="s">
        <v>95</v>
      </c>
      <c r="E133" s="11">
        <f t="shared" si="5"/>
        <v>-5.551732784983137E-2</v>
      </c>
      <c r="F133" s="5">
        <v>0.88</v>
      </c>
      <c r="G133" s="5" t="s">
        <v>108</v>
      </c>
    </row>
    <row r="134" spans="1:7" x14ac:dyDescent="0.2">
      <c r="A134" s="3" t="s">
        <v>109</v>
      </c>
      <c r="B134" s="3" t="s">
        <v>143</v>
      </c>
      <c r="C134" s="6" t="s">
        <v>45</v>
      </c>
      <c r="D134" s="6" t="s">
        <v>93</v>
      </c>
      <c r="E134" s="11">
        <f t="shared" si="5"/>
        <v>0.22271647114758325</v>
      </c>
      <c r="F134" s="5">
        <v>1.67</v>
      </c>
      <c r="G134" s="5" t="s">
        <v>108</v>
      </c>
    </row>
    <row r="135" spans="1:7" x14ac:dyDescent="0.2">
      <c r="A135" s="3" t="s">
        <v>109</v>
      </c>
      <c r="B135" s="3" t="s">
        <v>143</v>
      </c>
      <c r="C135" s="6" t="s">
        <v>41</v>
      </c>
      <c r="D135" s="6" t="s">
        <v>92</v>
      </c>
      <c r="E135" s="11">
        <f t="shared" si="5"/>
        <v>0.35793484700045375</v>
      </c>
      <c r="F135" s="5">
        <v>2.2799999999999998</v>
      </c>
      <c r="G135" s="5" t="s">
        <v>108</v>
      </c>
    </row>
    <row r="136" spans="1:7" x14ac:dyDescent="0.2">
      <c r="A136" s="3" t="s">
        <v>109</v>
      </c>
      <c r="B136" s="3" t="s">
        <v>143</v>
      </c>
      <c r="C136" s="6" t="s">
        <v>46</v>
      </c>
      <c r="D136" s="6" t="s">
        <v>98</v>
      </c>
      <c r="E136" s="11">
        <f t="shared" si="5"/>
        <v>0.43136376415898736</v>
      </c>
      <c r="F136" s="5">
        <v>2.7</v>
      </c>
      <c r="G136" s="5" t="s">
        <v>108</v>
      </c>
    </row>
    <row r="137" spans="1:7" x14ac:dyDescent="0.2">
      <c r="A137" s="3" t="s">
        <v>109</v>
      </c>
      <c r="B137" s="3" t="s">
        <v>143</v>
      </c>
      <c r="C137" s="6" t="s">
        <v>47</v>
      </c>
      <c r="D137" s="6" t="s">
        <v>173</v>
      </c>
      <c r="E137" s="11">
        <f t="shared" si="5"/>
        <v>1.3579348470004537</v>
      </c>
      <c r="F137" s="5">
        <v>22.8</v>
      </c>
      <c r="G137" s="5" t="s">
        <v>108</v>
      </c>
    </row>
    <row r="138" spans="1:7" x14ac:dyDescent="0.2">
      <c r="A138" s="3" t="s">
        <v>109</v>
      </c>
      <c r="B138" s="3" t="s">
        <v>143</v>
      </c>
      <c r="C138" s="6" t="s">
        <v>59</v>
      </c>
      <c r="D138" s="6" t="s">
        <v>90</v>
      </c>
      <c r="E138" s="11">
        <f t="shared" si="5"/>
        <v>0.33041377334919086</v>
      </c>
      <c r="F138" s="5">
        <v>2.14</v>
      </c>
      <c r="G138" s="5" t="s">
        <v>108</v>
      </c>
    </row>
    <row r="139" spans="1:7" x14ac:dyDescent="0.2">
      <c r="A139" s="3" t="s">
        <v>109</v>
      </c>
      <c r="B139" s="3" t="s">
        <v>143</v>
      </c>
      <c r="C139" s="6" t="s">
        <v>73</v>
      </c>
      <c r="D139" s="6" t="s">
        <v>87</v>
      </c>
      <c r="E139" s="11">
        <f t="shared" si="5"/>
        <v>0.69019608002851374</v>
      </c>
      <c r="F139" s="5">
        <v>4.9000000000000004</v>
      </c>
      <c r="G139" s="5" t="s">
        <v>108</v>
      </c>
    </row>
    <row r="140" spans="1:7" x14ac:dyDescent="0.2">
      <c r="A140" s="3" t="s">
        <v>109</v>
      </c>
      <c r="B140" s="3" t="s">
        <v>143</v>
      </c>
      <c r="C140" s="6" t="s">
        <v>67</v>
      </c>
      <c r="D140" s="6" t="s">
        <v>86</v>
      </c>
      <c r="E140" s="11">
        <f t="shared" si="5"/>
        <v>0.38381536598043126</v>
      </c>
      <c r="F140" s="5">
        <v>2.42</v>
      </c>
      <c r="G140" s="5" t="s">
        <v>108</v>
      </c>
    </row>
    <row r="141" spans="1:7" x14ac:dyDescent="0.2">
      <c r="A141" s="3" t="s">
        <v>109</v>
      </c>
      <c r="B141" s="3" t="s">
        <v>143</v>
      </c>
      <c r="C141" s="6" t="s">
        <v>68</v>
      </c>
      <c r="D141" s="6" t="s">
        <v>155</v>
      </c>
      <c r="E141" s="11">
        <f t="shared" si="5"/>
        <v>-0.48148606012211248</v>
      </c>
      <c r="F141" s="5">
        <v>0.33</v>
      </c>
      <c r="G141" s="5" t="s">
        <v>108</v>
      </c>
    </row>
    <row r="142" spans="1:7" x14ac:dyDescent="0.2">
      <c r="A142" s="3" t="s">
        <v>109</v>
      </c>
      <c r="B142" s="3" t="s">
        <v>143</v>
      </c>
      <c r="C142" s="6" t="s">
        <v>75</v>
      </c>
      <c r="D142" s="6" t="s">
        <v>164</v>
      </c>
      <c r="E142" s="11">
        <f t="shared" si="5"/>
        <v>0.74818802700620035</v>
      </c>
      <c r="F142" s="5">
        <v>5.6</v>
      </c>
      <c r="G142" s="5" t="s">
        <v>108</v>
      </c>
    </row>
    <row r="143" spans="1:7" x14ac:dyDescent="0.2">
      <c r="A143" s="3" t="s">
        <v>109</v>
      </c>
      <c r="B143" s="3" t="s">
        <v>143</v>
      </c>
      <c r="C143" s="6" t="s">
        <v>57</v>
      </c>
      <c r="D143" s="6" t="s">
        <v>177</v>
      </c>
      <c r="E143" s="11">
        <f t="shared" si="5"/>
        <v>8.2785370316450071E-2</v>
      </c>
      <c r="F143" s="5">
        <v>1.21</v>
      </c>
      <c r="G143" s="5" t="s">
        <v>108</v>
      </c>
    </row>
    <row r="144" spans="1:7" x14ac:dyDescent="0.2">
      <c r="A144" s="3" t="s">
        <v>109</v>
      </c>
      <c r="B144" s="3" t="s">
        <v>143</v>
      </c>
      <c r="C144" s="6" t="s">
        <v>78</v>
      </c>
      <c r="D144" s="6" t="s">
        <v>166</v>
      </c>
      <c r="E144" s="11">
        <f t="shared" si="5"/>
        <v>0.11727129565576427</v>
      </c>
      <c r="F144" s="5">
        <v>1.31</v>
      </c>
      <c r="G144" s="5" t="s">
        <v>108</v>
      </c>
    </row>
    <row r="145" spans="1:7" x14ac:dyDescent="0.2">
      <c r="A145" s="3" t="s">
        <v>109</v>
      </c>
      <c r="B145" s="3" t="s">
        <v>143</v>
      </c>
      <c r="C145" s="6" t="s">
        <v>56</v>
      </c>
      <c r="D145" s="6" t="s">
        <v>174</v>
      </c>
      <c r="E145" s="11">
        <f t="shared" si="5"/>
        <v>0.41995574848975786</v>
      </c>
      <c r="F145" s="5">
        <v>2.63</v>
      </c>
      <c r="G145" s="5" t="s">
        <v>108</v>
      </c>
    </row>
    <row r="146" spans="1:7" x14ac:dyDescent="0.2">
      <c r="A146" s="3" t="s">
        <v>109</v>
      </c>
      <c r="B146" s="3" t="s">
        <v>143</v>
      </c>
      <c r="C146" s="6" t="s">
        <v>54</v>
      </c>
      <c r="D146" s="6" t="s">
        <v>163</v>
      </c>
      <c r="E146" s="11">
        <f t="shared" si="5"/>
        <v>9.691001300805642E-2</v>
      </c>
      <c r="F146" s="5">
        <v>1.25</v>
      </c>
      <c r="G146" s="5" t="s">
        <v>108</v>
      </c>
    </row>
    <row r="147" spans="1:7" x14ac:dyDescent="0.2">
      <c r="A147" s="3" t="s">
        <v>109</v>
      </c>
      <c r="B147" s="3" t="s">
        <v>143</v>
      </c>
      <c r="C147" s="6" t="s">
        <v>76</v>
      </c>
      <c r="D147" s="6" t="s">
        <v>165</v>
      </c>
      <c r="E147" s="11">
        <f t="shared" si="5"/>
        <v>-2.6872146400301365E-2</v>
      </c>
      <c r="F147" s="5">
        <v>0.94</v>
      </c>
      <c r="G147" s="5" t="s">
        <v>108</v>
      </c>
    </row>
    <row r="148" spans="1:7" x14ac:dyDescent="0.2">
      <c r="A148" s="3" t="s">
        <v>109</v>
      </c>
      <c r="B148" s="3" t="s">
        <v>143</v>
      </c>
      <c r="C148" s="6" t="s">
        <v>53</v>
      </c>
      <c r="D148" s="6" t="s">
        <v>99</v>
      </c>
      <c r="E148" s="11">
        <f t="shared" si="5"/>
        <v>-0.79588001734407521</v>
      </c>
      <c r="F148" s="5">
        <v>0.16</v>
      </c>
      <c r="G148" s="5" t="s">
        <v>108</v>
      </c>
    </row>
    <row r="149" spans="1:7" x14ac:dyDescent="0.2">
      <c r="A149" s="3" t="s">
        <v>109</v>
      </c>
      <c r="B149" s="3" t="s">
        <v>143</v>
      </c>
      <c r="C149" s="6" t="s">
        <v>72</v>
      </c>
      <c r="D149" s="6" t="s">
        <v>161</v>
      </c>
      <c r="E149" s="11">
        <f t="shared" si="5"/>
        <v>-0.44369749923271273</v>
      </c>
      <c r="F149" s="5">
        <v>0.36</v>
      </c>
      <c r="G149" s="5" t="s">
        <v>108</v>
      </c>
    </row>
    <row r="150" spans="1:7" x14ac:dyDescent="0.2">
      <c r="A150" s="6" t="s">
        <v>28</v>
      </c>
      <c r="B150" s="6" t="s">
        <v>124</v>
      </c>
      <c r="C150" s="6" t="s">
        <v>42</v>
      </c>
      <c r="D150" s="6" t="s">
        <v>83</v>
      </c>
      <c r="E150" s="4">
        <f t="shared" ref="E150:E158" si="6">LOG10(F150)</f>
        <v>-8.1978534457510985</v>
      </c>
      <c r="F150" s="5">
        <v>6.3408364898620019E-9</v>
      </c>
      <c r="G150" s="6" t="s">
        <v>16</v>
      </c>
    </row>
    <row r="151" spans="1:7" x14ac:dyDescent="0.2">
      <c r="A151" s="3" t="s">
        <v>27</v>
      </c>
      <c r="B151" s="3" t="s">
        <v>123</v>
      </c>
      <c r="C151" s="3" t="s">
        <v>42</v>
      </c>
      <c r="D151" s="6" t="s">
        <v>83</v>
      </c>
      <c r="E151" s="4">
        <f t="shared" si="6"/>
        <v>-8.8728952016351919</v>
      </c>
      <c r="F151" s="5">
        <v>1.3399999999999999E-9</v>
      </c>
      <c r="G151" s="6" t="s">
        <v>8</v>
      </c>
    </row>
    <row r="152" spans="1:7" x14ac:dyDescent="0.2">
      <c r="A152" s="6" t="s">
        <v>29</v>
      </c>
      <c r="B152" s="6" t="s">
        <v>126</v>
      </c>
      <c r="C152" s="6" t="s">
        <v>42</v>
      </c>
      <c r="D152" s="6" t="s">
        <v>83</v>
      </c>
      <c r="E152" s="4">
        <f t="shared" si="6"/>
        <v>-8.5914382598079388</v>
      </c>
      <c r="F152" s="5">
        <v>2.5618974427829381E-9</v>
      </c>
      <c r="G152" s="6" t="s">
        <v>16</v>
      </c>
    </row>
    <row r="153" spans="1:7" x14ac:dyDescent="0.2">
      <c r="A153" s="6" t="s">
        <v>30</v>
      </c>
      <c r="B153" s="6" t="s">
        <v>127</v>
      </c>
      <c r="C153" s="6" t="s">
        <v>42</v>
      </c>
      <c r="D153" s="6" t="s">
        <v>83</v>
      </c>
      <c r="E153" s="4">
        <f t="shared" si="6"/>
        <v>-7.4774587136462323</v>
      </c>
      <c r="F153" s="5">
        <v>3.3307442463806003E-8</v>
      </c>
      <c r="G153" s="6" t="s">
        <v>16</v>
      </c>
    </row>
    <row r="154" spans="1:7" x14ac:dyDescent="0.2">
      <c r="A154" s="6" t="s">
        <v>31</v>
      </c>
      <c r="B154" s="6" t="s">
        <v>122</v>
      </c>
      <c r="C154" s="6" t="s">
        <v>42</v>
      </c>
      <c r="D154" s="6" t="s">
        <v>83</v>
      </c>
      <c r="E154" s="4">
        <f t="shared" si="6"/>
        <v>-8.381089213442019</v>
      </c>
      <c r="F154" s="5">
        <v>4.1582518226990991E-9</v>
      </c>
      <c r="G154" s="6" t="s">
        <v>16</v>
      </c>
    </row>
    <row r="155" spans="1:7" x14ac:dyDescent="0.2">
      <c r="A155" s="6" t="s">
        <v>32</v>
      </c>
      <c r="B155" s="6" t="s">
        <v>125</v>
      </c>
      <c r="C155" s="6" t="s">
        <v>42</v>
      </c>
      <c r="D155" s="6" t="s">
        <v>83</v>
      </c>
      <c r="E155" s="4">
        <f t="shared" si="6"/>
        <v>-7.6459425715988676</v>
      </c>
      <c r="F155" s="5">
        <v>2.2597345637092219E-8</v>
      </c>
      <c r="G155" s="6" t="s">
        <v>16</v>
      </c>
    </row>
    <row r="156" spans="1:7" x14ac:dyDescent="0.2">
      <c r="A156" s="6" t="s">
        <v>33</v>
      </c>
      <c r="B156" s="6" t="s">
        <v>128</v>
      </c>
      <c r="C156" s="6" t="s">
        <v>42</v>
      </c>
      <c r="D156" s="6" t="s">
        <v>83</v>
      </c>
      <c r="E156" s="4">
        <f t="shared" si="6"/>
        <v>-5.9114017575615971</v>
      </c>
      <c r="F156" s="5">
        <v>1.2263042755248381E-6</v>
      </c>
      <c r="G156" s="6" t="s">
        <v>16</v>
      </c>
    </row>
    <row r="157" spans="1:7" x14ac:dyDescent="0.2">
      <c r="A157" s="6" t="s">
        <v>24</v>
      </c>
      <c r="B157" s="6" t="s">
        <v>24</v>
      </c>
      <c r="C157" s="6" t="s">
        <v>42</v>
      </c>
      <c r="D157" s="6" t="s">
        <v>83</v>
      </c>
      <c r="E157" s="4">
        <f t="shared" si="6"/>
        <v>-6.6792188449615493</v>
      </c>
      <c r="F157" s="5">
        <v>2.093057479259843E-7</v>
      </c>
      <c r="G157" s="6" t="s">
        <v>16</v>
      </c>
    </row>
    <row r="158" spans="1:7" x14ac:dyDescent="0.2">
      <c r="A158" s="6" t="s">
        <v>23</v>
      </c>
      <c r="B158" s="6" t="s">
        <v>23</v>
      </c>
      <c r="C158" s="6" t="s">
        <v>42</v>
      </c>
      <c r="D158" s="6" t="s">
        <v>83</v>
      </c>
      <c r="E158" s="4">
        <f t="shared" si="6"/>
        <v>-4.6226990047468846</v>
      </c>
      <c r="F158" s="5">
        <v>2.3839711490984486E-5</v>
      </c>
      <c r="G158" s="6" t="s">
        <v>16</v>
      </c>
    </row>
    <row r="159" spans="1:7" x14ac:dyDescent="0.2">
      <c r="A159" s="6" t="s">
        <v>110</v>
      </c>
      <c r="B159" s="6" t="s">
        <v>129</v>
      </c>
      <c r="C159" s="3" t="s">
        <v>42</v>
      </c>
      <c r="D159" s="3" t="s">
        <v>83</v>
      </c>
      <c r="E159" s="4">
        <f t="shared" ref="E159:E177" si="7">LOG10(F159)</f>
        <v>-5.3948172981450346</v>
      </c>
      <c r="F159" s="5">
        <v>4.0288648761324757E-6</v>
      </c>
      <c r="G159" s="6" t="s">
        <v>18</v>
      </c>
    </row>
    <row r="160" spans="1:7" x14ac:dyDescent="0.2">
      <c r="A160" s="6" t="s">
        <v>111</v>
      </c>
      <c r="B160" s="6" t="s">
        <v>130</v>
      </c>
      <c r="C160" s="3" t="s">
        <v>42</v>
      </c>
      <c r="D160" s="3" t="s">
        <v>83</v>
      </c>
      <c r="E160" s="4">
        <f t="shared" si="7"/>
        <v>-5.2276175057549858</v>
      </c>
      <c r="F160" s="5">
        <v>5.920828671170465E-6</v>
      </c>
      <c r="G160" s="6" t="s">
        <v>18</v>
      </c>
    </row>
    <row r="161" spans="1:7" x14ac:dyDescent="0.2">
      <c r="A161" s="6" t="s">
        <v>37</v>
      </c>
      <c r="B161" s="6" t="s">
        <v>131</v>
      </c>
      <c r="C161" s="3" t="s">
        <v>42</v>
      </c>
      <c r="D161" s="3" t="s">
        <v>83</v>
      </c>
      <c r="E161" s="4">
        <f t="shared" si="7"/>
        <v>-5.1476422511473121</v>
      </c>
      <c r="F161" s="5">
        <v>7.1179961514277139E-6</v>
      </c>
      <c r="G161" s="6" t="s">
        <v>18</v>
      </c>
    </row>
    <row r="162" spans="1:7" x14ac:dyDescent="0.2">
      <c r="A162" s="6" t="s">
        <v>112</v>
      </c>
      <c r="B162" s="6" t="s">
        <v>132</v>
      </c>
      <c r="C162" s="3" t="s">
        <v>42</v>
      </c>
      <c r="D162" s="3" t="s">
        <v>83</v>
      </c>
      <c r="E162" s="4">
        <f t="shared" si="7"/>
        <v>-4.810991734475504</v>
      </c>
      <c r="F162" s="5">
        <v>1.5452838492143306E-5</v>
      </c>
      <c r="G162" s="6" t="s">
        <v>18</v>
      </c>
    </row>
    <row r="163" spans="1:7" x14ac:dyDescent="0.2">
      <c r="A163" s="12" t="s">
        <v>113</v>
      </c>
      <c r="B163" s="12" t="s">
        <v>133</v>
      </c>
      <c r="C163" s="3" t="s">
        <v>42</v>
      </c>
      <c r="D163" s="3" t="s">
        <v>83</v>
      </c>
      <c r="E163" s="4">
        <f t="shared" si="7"/>
        <v>-4.1155951375119804</v>
      </c>
      <c r="F163" s="5">
        <v>7.6631065206404002E-5</v>
      </c>
      <c r="G163" s="6" t="s">
        <v>18</v>
      </c>
    </row>
    <row r="164" spans="1:7" x14ac:dyDescent="0.2">
      <c r="A164" s="6" t="s">
        <v>114</v>
      </c>
      <c r="B164" s="6" t="s">
        <v>134</v>
      </c>
      <c r="C164" s="3" t="s">
        <v>42</v>
      </c>
      <c r="D164" s="3" t="s">
        <v>83</v>
      </c>
      <c r="E164" s="4">
        <f t="shared" si="7"/>
        <v>-4.1469653209004402</v>
      </c>
      <c r="F164" s="5">
        <v>7.1290995483836697E-5</v>
      </c>
      <c r="G164" s="6" t="s">
        <v>18</v>
      </c>
    </row>
    <row r="165" spans="1:7" x14ac:dyDescent="0.2">
      <c r="A165" s="12" t="s">
        <v>115</v>
      </c>
      <c r="B165" s="12" t="s">
        <v>135</v>
      </c>
      <c r="C165" s="3" t="s">
        <v>42</v>
      </c>
      <c r="D165" s="3" t="s">
        <v>83</v>
      </c>
      <c r="E165" s="4">
        <f t="shared" si="7"/>
        <v>-3.3838041368294771</v>
      </c>
      <c r="F165" s="5">
        <v>4.1323382496275435E-4</v>
      </c>
      <c r="G165" s="6" t="s">
        <v>18</v>
      </c>
    </row>
    <row r="166" spans="1:7" x14ac:dyDescent="0.2">
      <c r="A166" s="6" t="s">
        <v>36</v>
      </c>
      <c r="B166" s="6" t="s">
        <v>119</v>
      </c>
      <c r="C166" s="3" t="s">
        <v>42</v>
      </c>
      <c r="D166" s="3" t="s">
        <v>83</v>
      </c>
      <c r="E166" s="4">
        <f t="shared" si="7"/>
        <v>-5.0301183562535003</v>
      </c>
      <c r="F166" s="5">
        <v>9.3300000000000005E-6</v>
      </c>
      <c r="G166" s="6" t="s">
        <v>18</v>
      </c>
    </row>
    <row r="167" spans="1:7" x14ac:dyDescent="0.2">
      <c r="A167" s="6" t="s">
        <v>36</v>
      </c>
      <c r="B167" s="6" t="s">
        <v>119</v>
      </c>
      <c r="C167" s="3" t="s">
        <v>42</v>
      </c>
      <c r="D167" s="3" t="s">
        <v>83</v>
      </c>
      <c r="E167" s="4">
        <f t="shared" si="7"/>
        <v>-4.9625735020593762</v>
      </c>
      <c r="F167" s="5">
        <v>1.0900000000000001E-5</v>
      </c>
      <c r="G167" s="6" t="s">
        <v>5</v>
      </c>
    </row>
    <row r="168" spans="1:7" x14ac:dyDescent="0.2">
      <c r="A168" s="6" t="s">
        <v>38</v>
      </c>
      <c r="B168" s="6" t="s">
        <v>144</v>
      </c>
      <c r="C168" s="3" t="s">
        <v>42</v>
      </c>
      <c r="D168" s="3" t="s">
        <v>83</v>
      </c>
      <c r="E168" s="4">
        <f t="shared" si="7"/>
        <v>-5.4921441283041688</v>
      </c>
      <c r="F168" s="5">
        <v>3.2200000000000001E-6</v>
      </c>
      <c r="G168" s="6" t="s">
        <v>8</v>
      </c>
    </row>
    <row r="169" spans="1:7" x14ac:dyDescent="0.2">
      <c r="A169" s="6" t="s">
        <v>116</v>
      </c>
      <c r="B169" s="6" t="s">
        <v>121</v>
      </c>
      <c r="C169" s="3" t="s">
        <v>42</v>
      </c>
      <c r="D169" s="3" t="s">
        <v>83</v>
      </c>
      <c r="E169" s="11">
        <f t="shared" si="7"/>
        <v>-5.4089353929735005</v>
      </c>
      <c r="F169" s="5">
        <v>3.8999999999999999E-6</v>
      </c>
      <c r="G169" s="6" t="s">
        <v>8</v>
      </c>
    </row>
    <row r="170" spans="1:7" x14ac:dyDescent="0.2">
      <c r="A170" s="6" t="s">
        <v>26</v>
      </c>
      <c r="B170" s="6" t="s">
        <v>145</v>
      </c>
      <c r="C170" s="3" t="s">
        <v>42</v>
      </c>
      <c r="D170" s="3" t="s">
        <v>83</v>
      </c>
      <c r="E170" s="4">
        <f t="shared" si="7"/>
        <v>-4.8538719643217618</v>
      </c>
      <c r="F170" s="5">
        <f>0.000014</f>
        <v>1.4E-5</v>
      </c>
      <c r="G170" s="6" t="s">
        <v>17</v>
      </c>
    </row>
    <row r="171" spans="1:7" x14ac:dyDescent="0.2">
      <c r="A171" s="3" t="s">
        <v>25</v>
      </c>
      <c r="B171" s="3" t="s">
        <v>120</v>
      </c>
      <c r="C171" s="3" t="s">
        <v>42</v>
      </c>
      <c r="D171" s="3" t="s">
        <v>83</v>
      </c>
      <c r="E171" s="4">
        <f t="shared" si="7"/>
        <v>-4.8860566476931631</v>
      </c>
      <c r="F171" s="5">
        <f>0.000013</f>
        <v>1.2999999999999999E-5</v>
      </c>
      <c r="G171" s="6" t="s">
        <v>8</v>
      </c>
    </row>
    <row r="172" spans="1:7" x14ac:dyDescent="0.2">
      <c r="A172" s="3" t="s">
        <v>14</v>
      </c>
      <c r="B172" s="3" t="s">
        <v>146</v>
      </c>
      <c r="C172" s="3" t="s">
        <v>42</v>
      </c>
      <c r="D172" s="3" t="s">
        <v>83</v>
      </c>
      <c r="E172" s="4">
        <f t="shared" si="7"/>
        <v>-8.3861581781239316</v>
      </c>
      <c r="F172" s="5">
        <f>0.00000000411</f>
        <v>4.1100000000000001E-9</v>
      </c>
      <c r="G172" s="6" t="s">
        <v>15</v>
      </c>
    </row>
    <row r="173" spans="1:7" x14ac:dyDescent="0.2">
      <c r="A173" s="3" t="s">
        <v>14</v>
      </c>
      <c r="B173" s="3" t="s">
        <v>146</v>
      </c>
      <c r="C173" s="3" t="s">
        <v>50</v>
      </c>
      <c r="D173" s="3" t="s">
        <v>91</v>
      </c>
      <c r="E173" s="4">
        <f t="shared" si="7"/>
        <v>-5.1586405295451447</v>
      </c>
      <c r="F173" s="5">
        <v>6.9399999999999996E-6</v>
      </c>
      <c r="G173" s="6" t="s">
        <v>15</v>
      </c>
    </row>
    <row r="174" spans="1:7" x14ac:dyDescent="0.2">
      <c r="A174" s="3" t="s">
        <v>14</v>
      </c>
      <c r="B174" s="3" t="s">
        <v>146</v>
      </c>
      <c r="C174" s="3" t="s">
        <v>44</v>
      </c>
      <c r="D174" s="3" t="s">
        <v>95</v>
      </c>
      <c r="E174" s="4">
        <f t="shared" si="7"/>
        <v>-5.1586405295451447</v>
      </c>
      <c r="F174" s="5">
        <v>6.9399999999999996E-6</v>
      </c>
      <c r="G174" s="6" t="s">
        <v>15</v>
      </c>
    </row>
    <row r="175" spans="1:7" x14ac:dyDescent="0.2">
      <c r="A175" s="3" t="s">
        <v>14</v>
      </c>
      <c r="B175" s="3" t="s">
        <v>146</v>
      </c>
      <c r="C175" s="3" t="s">
        <v>45</v>
      </c>
      <c r="D175" s="3" t="s">
        <v>93</v>
      </c>
      <c r="E175" s="4">
        <f t="shared" si="7"/>
        <v>-2.8827287043442356</v>
      </c>
      <c r="F175" s="5">
        <v>1.31E-3</v>
      </c>
      <c r="G175" s="6" t="s">
        <v>15</v>
      </c>
    </row>
    <row r="176" spans="1:7" x14ac:dyDescent="0.2">
      <c r="A176" s="3" t="s">
        <v>14</v>
      </c>
      <c r="B176" s="3" t="s">
        <v>146</v>
      </c>
      <c r="C176" s="3" t="s">
        <v>66</v>
      </c>
      <c r="D176" s="3" t="s">
        <v>85</v>
      </c>
      <c r="E176" s="4">
        <f t="shared" si="7"/>
        <v>-5.6736641390712483</v>
      </c>
      <c r="F176" s="5">
        <v>2.12E-6</v>
      </c>
      <c r="G176" s="6" t="s">
        <v>15</v>
      </c>
    </row>
    <row r="177" spans="1:7" x14ac:dyDescent="0.2">
      <c r="A177" s="3" t="s">
        <v>12</v>
      </c>
      <c r="B177" s="3" t="s">
        <v>147</v>
      </c>
      <c r="C177" s="3" t="s">
        <v>42</v>
      </c>
      <c r="D177" s="3" t="s">
        <v>83</v>
      </c>
      <c r="E177" s="4">
        <f t="shared" si="7"/>
        <v>-12.920818753952375</v>
      </c>
      <c r="F177" s="5">
        <f>0.00000000000012</f>
        <v>1.1999999999999999E-13</v>
      </c>
      <c r="G177" s="6" t="s">
        <v>13</v>
      </c>
    </row>
  </sheetData>
  <sortState xmlns:xlrd2="http://schemas.microsoft.com/office/spreadsheetml/2017/richdata2" ref="A157:G251">
    <sortCondition ref="A1:A251"/>
  </sortState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2026-05-14T10:04:51Z</dcterms:created>
  <dcterms:modified xsi:type="dcterms:W3CDTF">2026-08-12T10:36:21Z</dcterms:modified>
</cp:coreProperties>
</file>